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ef1d1f3ca849450/ドキュメント/Antigravity_products/timecard/"/>
    </mc:Choice>
  </mc:AlternateContent>
  <xr:revisionPtr revIDLastSave="14" documentId="8_{524A11A4-0B7F-4C6A-924A-7794EB9FADAF}" xr6:coauthVersionLast="47" xr6:coauthVersionMax="47" xr10:uidLastSave="{5318D87E-3FBE-4037-B0AE-468409F219AA}"/>
  <bookViews>
    <workbookView xWindow="-108" yWindow="-108" windowWidth="23256" windowHeight="13896" tabRatio="648" activeTab="10" xr2:uid="{00000000-000D-0000-FFFF-FFFF00000000}"/>
  </bookViews>
  <sheets>
    <sheet name="マスタ" sheetId="16" r:id="rId1"/>
    <sheet name="草野久美子" sheetId="18" r:id="rId2"/>
    <sheet name="小出美穂子" sheetId="22" r:id="rId3"/>
    <sheet name="高橋奈々" sheetId="20" r:id="rId4"/>
    <sheet name="小田麻美" sheetId="19" r:id="rId5"/>
    <sheet name="林萌子" sheetId="35" r:id="rId6"/>
    <sheet name="山田正美" sheetId="31" r:id="rId7"/>
    <sheet name="市川悠歩" sheetId="21" r:id="rId8"/>
    <sheet name="谷口ベアトリス真弥" sheetId="28" r:id="rId9"/>
    <sheet name="森川優豪" sheetId="33" r:id="rId10"/>
    <sheet name="五十嵐絢子" sheetId="32" r:id="rId11"/>
  </sheets>
  <definedNames>
    <definedName name="_xlnm._FilterDatabase" localSheetId="0" hidden="1">マスタ!$A$1:$N$34</definedName>
    <definedName name="_xlnm._FilterDatabase" localSheetId="10" hidden="1">五十嵐絢子!$A$1:$N$34</definedName>
    <definedName name="_xlnm._FilterDatabase" localSheetId="3" hidden="1">高橋奈々!$A$1:$N$34</definedName>
    <definedName name="_xlnm._FilterDatabase" localSheetId="6" hidden="1">山田正美!$A$1:$N$34</definedName>
    <definedName name="_xlnm._FilterDatabase" localSheetId="7" hidden="1">市川悠歩!$A$1:$N$34</definedName>
    <definedName name="_xlnm._FilterDatabase" localSheetId="2" hidden="1">小出美穂子!$A$1:$N$34</definedName>
    <definedName name="_xlnm._FilterDatabase" localSheetId="4" hidden="1">小田麻美!$A$1:$N$34</definedName>
    <definedName name="_xlnm._FilterDatabase" localSheetId="9" hidden="1">森川優豪!$A$1:$N$34</definedName>
    <definedName name="_xlnm._FilterDatabase" localSheetId="1" hidden="1">草野久美子!$A$1:$N$34</definedName>
    <definedName name="_xlnm._FilterDatabase" localSheetId="8" hidden="1">谷口ベアトリス真弥!$A$1:$N$34</definedName>
    <definedName name="_xlnm._FilterDatabase" localSheetId="5" hidden="1">林萌子!$A$1:$N$34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21" l="1"/>
  <c r="K4" i="31"/>
  <c r="K2" i="19"/>
  <c r="K3" i="19"/>
  <c r="K13" i="19"/>
  <c r="K29" i="20"/>
  <c r="K24" i="20"/>
  <c r="K25" i="20"/>
  <c r="K2" i="22"/>
  <c r="K2" i="20"/>
  <c r="K2" i="35"/>
  <c r="K2" i="31"/>
  <c r="K2" i="21"/>
  <c r="K2" i="28"/>
  <c r="K2" i="33"/>
  <c r="K2" i="32"/>
  <c r="K2" i="18"/>
  <c r="E38" i="35"/>
  <c r="E34" i="35"/>
  <c r="E35" i="35"/>
  <c r="E33" i="35"/>
  <c r="N32" i="35"/>
  <c r="J32" i="35"/>
  <c r="H32" i="35" s="1"/>
  <c r="B32" i="35"/>
  <c r="N31" i="35"/>
  <c r="J31" i="35"/>
  <c r="H31" i="35" s="1"/>
  <c r="B31" i="35"/>
  <c r="N30" i="35"/>
  <c r="J30" i="35"/>
  <c r="K30" i="35" s="1"/>
  <c r="L30" i="35" s="1"/>
  <c r="M30" i="35" s="1"/>
  <c r="B30" i="35"/>
  <c r="N29" i="35"/>
  <c r="J29" i="35"/>
  <c r="K29" i="35" s="1"/>
  <c r="L29" i="35" s="1"/>
  <c r="M29" i="35" s="1"/>
  <c r="B29" i="35"/>
  <c r="N28" i="35"/>
  <c r="J28" i="35"/>
  <c r="H28" i="35" s="1"/>
  <c r="B28" i="35"/>
  <c r="N27" i="35"/>
  <c r="J27" i="35"/>
  <c r="K27" i="35" s="1"/>
  <c r="L27" i="35" s="1"/>
  <c r="M27" i="35" s="1"/>
  <c r="B27" i="35"/>
  <c r="N26" i="35"/>
  <c r="J26" i="35"/>
  <c r="K26" i="35" s="1"/>
  <c r="L26" i="35" s="1"/>
  <c r="M26" i="35" s="1"/>
  <c r="H26" i="35"/>
  <c r="B26" i="35"/>
  <c r="N25" i="35"/>
  <c r="J25" i="35"/>
  <c r="K25" i="35" s="1"/>
  <c r="L25" i="35" s="1"/>
  <c r="M25" i="35" s="1"/>
  <c r="B25" i="35"/>
  <c r="N24" i="35"/>
  <c r="J24" i="35"/>
  <c r="H24" i="35" s="1"/>
  <c r="B24" i="35"/>
  <c r="N23" i="35"/>
  <c r="J23" i="35"/>
  <c r="K23" i="35" s="1"/>
  <c r="L23" i="35" s="1"/>
  <c r="M23" i="35" s="1"/>
  <c r="H23" i="35"/>
  <c r="B23" i="35"/>
  <c r="N22" i="35"/>
  <c r="J22" i="35"/>
  <c r="K22" i="35" s="1"/>
  <c r="L22" i="35" s="1"/>
  <c r="M22" i="35" s="1"/>
  <c r="H22" i="35"/>
  <c r="B22" i="35"/>
  <c r="N21" i="35"/>
  <c r="J21" i="35"/>
  <c r="K21" i="35" s="1"/>
  <c r="L21" i="35" s="1"/>
  <c r="M21" i="35" s="1"/>
  <c r="H21" i="35"/>
  <c r="B21" i="35"/>
  <c r="N20" i="35"/>
  <c r="J20" i="35"/>
  <c r="K20" i="35" s="1"/>
  <c r="L20" i="35" s="1"/>
  <c r="M20" i="35" s="1"/>
  <c r="H20" i="35"/>
  <c r="B20" i="35"/>
  <c r="N19" i="35"/>
  <c r="J19" i="35"/>
  <c r="K19" i="35" s="1"/>
  <c r="L19" i="35" s="1"/>
  <c r="M19" i="35" s="1"/>
  <c r="H19" i="35"/>
  <c r="B19" i="35"/>
  <c r="N18" i="35"/>
  <c r="J18" i="35"/>
  <c r="K18" i="35" s="1"/>
  <c r="L18" i="35" s="1"/>
  <c r="M18" i="35" s="1"/>
  <c r="H18" i="35"/>
  <c r="B18" i="35"/>
  <c r="N17" i="35"/>
  <c r="J17" i="35"/>
  <c r="K17" i="35" s="1"/>
  <c r="L17" i="35" s="1"/>
  <c r="M17" i="35" s="1"/>
  <c r="B17" i="35"/>
  <c r="N16" i="35"/>
  <c r="J16" i="35"/>
  <c r="K16" i="35" s="1"/>
  <c r="L16" i="35" s="1"/>
  <c r="M16" i="35" s="1"/>
  <c r="B16" i="35"/>
  <c r="N15" i="35"/>
  <c r="J15" i="35"/>
  <c r="K15" i="35" s="1"/>
  <c r="L15" i="35" s="1"/>
  <c r="M15" i="35" s="1"/>
  <c r="H15" i="35"/>
  <c r="B15" i="35"/>
  <c r="N14" i="35"/>
  <c r="J14" i="35"/>
  <c r="K14" i="35" s="1"/>
  <c r="L14" i="35" s="1"/>
  <c r="M14" i="35" s="1"/>
  <c r="B14" i="35"/>
  <c r="N13" i="35"/>
  <c r="J13" i="35"/>
  <c r="K13" i="35" s="1"/>
  <c r="L13" i="35" s="1"/>
  <c r="M13" i="35" s="1"/>
  <c r="B13" i="35"/>
  <c r="N12" i="35"/>
  <c r="J12" i="35"/>
  <c r="K12" i="35" s="1"/>
  <c r="L12" i="35" s="1"/>
  <c r="M12" i="35" s="1"/>
  <c r="B12" i="35"/>
  <c r="N11" i="35"/>
  <c r="J11" i="35"/>
  <c r="K11" i="35" s="1"/>
  <c r="L11" i="35" s="1"/>
  <c r="M11" i="35" s="1"/>
  <c r="B11" i="35"/>
  <c r="N10" i="35"/>
  <c r="J10" i="35"/>
  <c r="K10" i="35" s="1"/>
  <c r="L10" i="35" s="1"/>
  <c r="M10" i="35" s="1"/>
  <c r="B10" i="35"/>
  <c r="N9" i="35"/>
  <c r="J9" i="35"/>
  <c r="K9" i="35" s="1"/>
  <c r="L9" i="35" s="1"/>
  <c r="M9" i="35" s="1"/>
  <c r="H9" i="35"/>
  <c r="B9" i="35"/>
  <c r="N8" i="35"/>
  <c r="J8" i="35"/>
  <c r="K8" i="35" s="1"/>
  <c r="L8" i="35" s="1"/>
  <c r="M8" i="35" s="1"/>
  <c r="H8" i="35"/>
  <c r="B8" i="35"/>
  <c r="N7" i="35"/>
  <c r="J7" i="35"/>
  <c r="K7" i="35" s="1"/>
  <c r="L7" i="35" s="1"/>
  <c r="M7" i="35" s="1"/>
  <c r="B7" i="35"/>
  <c r="N6" i="35"/>
  <c r="J6" i="35"/>
  <c r="K6" i="35" s="1"/>
  <c r="L6" i="35" s="1"/>
  <c r="M6" i="35" s="1"/>
  <c r="B6" i="35"/>
  <c r="N5" i="35"/>
  <c r="J5" i="35"/>
  <c r="K5" i="35" s="1"/>
  <c r="L5" i="35" s="1"/>
  <c r="M5" i="35" s="1"/>
  <c r="H5" i="35"/>
  <c r="B5" i="35"/>
  <c r="N4" i="35"/>
  <c r="J4" i="35"/>
  <c r="H4" i="35" s="1"/>
  <c r="B4" i="35"/>
  <c r="N3" i="35"/>
  <c r="J3" i="35"/>
  <c r="K3" i="35" s="1"/>
  <c r="L3" i="35" s="1"/>
  <c r="M3" i="35" s="1"/>
  <c r="H3" i="35"/>
  <c r="B3" i="35"/>
  <c r="N2" i="35"/>
  <c r="J2" i="35"/>
  <c r="H2" i="35"/>
  <c r="B2" i="35"/>
  <c r="H12" i="35" l="1"/>
  <c r="H30" i="35"/>
  <c r="H13" i="35"/>
  <c r="H29" i="35"/>
  <c r="K24" i="35"/>
  <c r="L24" i="35" s="1"/>
  <c r="M24" i="35" s="1"/>
  <c r="H17" i="35"/>
  <c r="H25" i="35"/>
  <c r="K28" i="35"/>
  <c r="L28" i="35" s="1"/>
  <c r="M28" i="35" s="1"/>
  <c r="H27" i="35"/>
  <c r="K4" i="35"/>
  <c r="L4" i="35" s="1"/>
  <c r="M4" i="35" s="1"/>
  <c r="H6" i="35"/>
  <c r="G34" i="35" s="1"/>
  <c r="G37" i="35" s="1"/>
  <c r="H11" i="35"/>
  <c r="H14" i="35"/>
  <c r="H16" i="35"/>
  <c r="H7" i="35"/>
  <c r="H10" i="35"/>
  <c r="N34" i="35"/>
  <c r="J34" i="35"/>
  <c r="L2" i="35"/>
  <c r="M2" i="35" s="1"/>
  <c r="K31" i="35"/>
  <c r="L31" i="35" s="1"/>
  <c r="K32" i="35"/>
  <c r="L32" i="35" s="1"/>
  <c r="M32" i="35" s="1"/>
  <c r="B25" i="18"/>
  <c r="B26" i="18"/>
  <c r="B27" i="18"/>
  <c r="B28" i="18"/>
  <c r="B25" i="32"/>
  <c r="B26" i="32"/>
  <c r="B27" i="32"/>
  <c r="B28" i="32"/>
  <c r="B25" i="33"/>
  <c r="B26" i="33"/>
  <c r="B27" i="33"/>
  <c r="B28" i="33"/>
  <c r="B25" i="28"/>
  <c r="B26" i="28"/>
  <c r="B27" i="28"/>
  <c r="B28" i="28"/>
  <c r="B25" i="21"/>
  <c r="B26" i="21"/>
  <c r="B27" i="21"/>
  <c r="B28" i="21"/>
  <c r="B25" i="31"/>
  <c r="B26" i="31"/>
  <c r="B27" i="31"/>
  <c r="B28" i="31"/>
  <c r="B25" i="19"/>
  <c r="B26" i="19"/>
  <c r="B27" i="19"/>
  <c r="B28" i="19"/>
  <c r="B25" i="20"/>
  <c r="B26" i="20"/>
  <c r="B27" i="20"/>
  <c r="B28" i="20"/>
  <c r="B25" i="22"/>
  <c r="B26" i="22"/>
  <c r="B27" i="22"/>
  <c r="B28" i="22"/>
  <c r="B32" i="22"/>
  <c r="B32" i="20"/>
  <c r="B32" i="19"/>
  <c r="B32" i="31"/>
  <c r="B32" i="21"/>
  <c r="B32" i="28"/>
  <c r="B32" i="33"/>
  <c r="B32" i="32"/>
  <c r="B32" i="18"/>
  <c r="H34" i="35" l="1"/>
  <c r="M31" i="35"/>
  <c r="L34" i="35"/>
  <c r="L36" i="35" s="1"/>
  <c r="K34" i="35"/>
  <c r="M34" i="35"/>
  <c r="B22" i="22"/>
  <c r="B22" i="20"/>
  <c r="B22" i="19"/>
  <c r="B22" i="31"/>
  <c r="B22" i="21"/>
  <c r="B22" i="28"/>
  <c r="B22" i="33"/>
  <c r="B22" i="32"/>
  <c r="B22" i="18"/>
  <c r="N32" i="33"/>
  <c r="J32" i="33"/>
  <c r="N31" i="33"/>
  <c r="J31" i="33"/>
  <c r="K31" i="33" s="1"/>
  <c r="B31" i="33"/>
  <c r="N30" i="33"/>
  <c r="J30" i="33"/>
  <c r="K30" i="33" s="1"/>
  <c r="B30" i="33"/>
  <c r="N29" i="33"/>
  <c r="J29" i="33"/>
  <c r="B29" i="33"/>
  <c r="N28" i="33"/>
  <c r="J28" i="33"/>
  <c r="N27" i="33"/>
  <c r="J27" i="33"/>
  <c r="N26" i="33"/>
  <c r="J26" i="33"/>
  <c r="K26" i="33" s="1"/>
  <c r="N25" i="33"/>
  <c r="J25" i="33"/>
  <c r="N24" i="33"/>
  <c r="J24" i="33"/>
  <c r="B24" i="33"/>
  <c r="N23" i="33"/>
  <c r="J23" i="33"/>
  <c r="B23" i="33"/>
  <c r="N22" i="33"/>
  <c r="J22" i="33"/>
  <c r="K22" i="33" s="1"/>
  <c r="H22" i="33"/>
  <c r="N21" i="33"/>
  <c r="J21" i="33"/>
  <c r="B21" i="33"/>
  <c r="N20" i="33"/>
  <c r="J20" i="33"/>
  <c r="K20" i="33" s="1"/>
  <c r="B20" i="33"/>
  <c r="N19" i="33"/>
  <c r="J19" i="33"/>
  <c r="K19" i="33" s="1"/>
  <c r="B19" i="33"/>
  <c r="N18" i="33"/>
  <c r="J18" i="33"/>
  <c r="B18" i="33"/>
  <c r="N17" i="33"/>
  <c r="J17" i="33"/>
  <c r="B17" i="33"/>
  <c r="N16" i="33"/>
  <c r="J16" i="33"/>
  <c r="B16" i="33"/>
  <c r="N15" i="33"/>
  <c r="J15" i="33"/>
  <c r="B15" i="33"/>
  <c r="N14" i="33"/>
  <c r="J14" i="33"/>
  <c r="K14" i="33" s="1"/>
  <c r="B14" i="33"/>
  <c r="N13" i="33"/>
  <c r="J13" i="33"/>
  <c r="H13" i="33" s="1"/>
  <c r="B13" i="33"/>
  <c r="N12" i="33"/>
  <c r="J12" i="33"/>
  <c r="H12" i="33" s="1"/>
  <c r="B12" i="33"/>
  <c r="N11" i="33"/>
  <c r="J11" i="33"/>
  <c r="B11" i="33"/>
  <c r="N10" i="33"/>
  <c r="J10" i="33"/>
  <c r="H10" i="33" s="1"/>
  <c r="B10" i="33"/>
  <c r="N9" i="33"/>
  <c r="J9" i="33"/>
  <c r="H9" i="33"/>
  <c r="B9" i="33"/>
  <c r="N8" i="33"/>
  <c r="J8" i="33"/>
  <c r="H8" i="33" s="1"/>
  <c r="B8" i="33"/>
  <c r="N7" i="33"/>
  <c r="J7" i="33"/>
  <c r="H7" i="33" s="1"/>
  <c r="B7" i="33"/>
  <c r="N6" i="33"/>
  <c r="J6" i="33"/>
  <c r="B6" i="33"/>
  <c r="N5" i="33"/>
  <c r="J5" i="33"/>
  <c r="H5" i="33" s="1"/>
  <c r="B5" i="33"/>
  <c r="N4" i="33"/>
  <c r="J4" i="33"/>
  <c r="H4" i="33" s="1"/>
  <c r="B4" i="33"/>
  <c r="N3" i="33"/>
  <c r="J3" i="33"/>
  <c r="H3" i="33" s="1"/>
  <c r="B3" i="33"/>
  <c r="N2" i="33"/>
  <c r="J2" i="33"/>
  <c r="L2" i="33" s="1"/>
  <c r="B2" i="33"/>
  <c r="N32" i="32"/>
  <c r="J32" i="32"/>
  <c r="K32" i="32" s="1"/>
  <c r="N31" i="32"/>
  <c r="J31" i="32"/>
  <c r="B31" i="32"/>
  <c r="N30" i="32"/>
  <c r="J30" i="32"/>
  <c r="K30" i="32" s="1"/>
  <c r="B30" i="32"/>
  <c r="N29" i="32"/>
  <c r="J29" i="32"/>
  <c r="K29" i="32" s="1"/>
  <c r="B29" i="32"/>
  <c r="N28" i="32"/>
  <c r="J28" i="32"/>
  <c r="K28" i="32" s="1"/>
  <c r="N27" i="32"/>
  <c r="J27" i="32"/>
  <c r="N26" i="32"/>
  <c r="J26" i="32"/>
  <c r="K26" i="32" s="1"/>
  <c r="N25" i="32"/>
  <c r="J25" i="32"/>
  <c r="N24" i="32"/>
  <c r="J24" i="32"/>
  <c r="K24" i="32" s="1"/>
  <c r="B24" i="32"/>
  <c r="N23" i="32"/>
  <c r="J23" i="32"/>
  <c r="B23" i="32"/>
  <c r="N22" i="32"/>
  <c r="J22" i="32"/>
  <c r="K22" i="32" s="1"/>
  <c r="N21" i="32"/>
  <c r="J21" i="32"/>
  <c r="B21" i="32"/>
  <c r="N20" i="32"/>
  <c r="J20" i="32"/>
  <c r="B20" i="32"/>
  <c r="N19" i="32"/>
  <c r="J19" i="32"/>
  <c r="K19" i="32" s="1"/>
  <c r="H19" i="32"/>
  <c r="B19" i="32"/>
  <c r="N18" i="32"/>
  <c r="J18" i="32"/>
  <c r="B18" i="32"/>
  <c r="N17" i="32"/>
  <c r="J17" i="32"/>
  <c r="K17" i="32" s="1"/>
  <c r="B17" i="32"/>
  <c r="N16" i="32"/>
  <c r="J16" i="32"/>
  <c r="B16" i="32"/>
  <c r="N15" i="32"/>
  <c r="J15" i="32"/>
  <c r="B15" i="32"/>
  <c r="N14" i="32"/>
  <c r="J14" i="32"/>
  <c r="K14" i="32" s="1"/>
  <c r="B14" i="32"/>
  <c r="N13" i="32"/>
  <c r="J13" i="32"/>
  <c r="B13" i="32"/>
  <c r="N12" i="32"/>
  <c r="J12" i="32"/>
  <c r="B12" i="32"/>
  <c r="N11" i="32"/>
  <c r="J11" i="32"/>
  <c r="K11" i="32" s="1"/>
  <c r="B11" i="32"/>
  <c r="N10" i="32"/>
  <c r="J10" i="32"/>
  <c r="B10" i="32"/>
  <c r="N9" i="32"/>
  <c r="J9" i="32"/>
  <c r="K9" i="32" s="1"/>
  <c r="B9" i="32"/>
  <c r="N8" i="32"/>
  <c r="J8" i="32"/>
  <c r="B8" i="32"/>
  <c r="N7" i="32"/>
  <c r="J7" i="32"/>
  <c r="K7" i="32" s="1"/>
  <c r="H7" i="32"/>
  <c r="B7" i="32"/>
  <c r="N6" i="32"/>
  <c r="J6" i="32"/>
  <c r="K6" i="32" s="1"/>
  <c r="B6" i="32"/>
  <c r="N5" i="32"/>
  <c r="J5" i="32"/>
  <c r="K5" i="32" s="1"/>
  <c r="B5" i="32"/>
  <c r="N4" i="32"/>
  <c r="J4" i="32"/>
  <c r="B4" i="32"/>
  <c r="N3" i="32"/>
  <c r="J3" i="32"/>
  <c r="K3" i="32" s="1"/>
  <c r="B3" i="32"/>
  <c r="N2" i="32"/>
  <c r="J2" i="32"/>
  <c r="H2" i="32" s="1"/>
  <c r="B2" i="32"/>
  <c r="B31" i="28"/>
  <c r="B30" i="28"/>
  <c r="B29" i="28"/>
  <c r="B24" i="28"/>
  <c r="B23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B31" i="21"/>
  <c r="B30" i="21"/>
  <c r="B29" i="21"/>
  <c r="B24" i="21"/>
  <c r="B23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31" i="31"/>
  <c r="B30" i="31"/>
  <c r="B29" i="31"/>
  <c r="B24" i="31"/>
  <c r="B23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5" i="31"/>
  <c r="B4" i="31"/>
  <c r="B3" i="31"/>
  <c r="B2" i="31"/>
  <c r="B31" i="19"/>
  <c r="B30" i="19"/>
  <c r="B29" i="19"/>
  <c r="B24" i="19"/>
  <c r="B23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B31" i="20"/>
  <c r="B30" i="20"/>
  <c r="B29" i="20"/>
  <c r="B24" i="20"/>
  <c r="B23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" i="20"/>
  <c r="B2" i="20"/>
  <c r="B31" i="22"/>
  <c r="B30" i="22"/>
  <c r="B29" i="22"/>
  <c r="B24" i="22"/>
  <c r="B23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B2" i="22"/>
  <c r="B7" i="18"/>
  <c r="B6" i="18"/>
  <c r="B4" i="18"/>
  <c r="B3" i="18"/>
  <c r="B5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3" i="18"/>
  <c r="B24" i="18"/>
  <c r="B29" i="18"/>
  <c r="B30" i="18"/>
  <c r="B31" i="18"/>
  <c r="N32" i="31"/>
  <c r="J32" i="31"/>
  <c r="K32" i="31" s="1"/>
  <c r="N31" i="31"/>
  <c r="J31" i="31"/>
  <c r="K31" i="31" s="1"/>
  <c r="N30" i="31"/>
  <c r="J30" i="31"/>
  <c r="K30" i="31" s="1"/>
  <c r="N29" i="31"/>
  <c r="J29" i="31"/>
  <c r="K29" i="31" s="1"/>
  <c r="N28" i="31"/>
  <c r="J28" i="31"/>
  <c r="K28" i="31" s="1"/>
  <c r="N27" i="31"/>
  <c r="J27" i="31"/>
  <c r="K27" i="31" s="1"/>
  <c r="N26" i="31"/>
  <c r="J26" i="31"/>
  <c r="K26" i="31" s="1"/>
  <c r="N25" i="31"/>
  <c r="J25" i="31"/>
  <c r="K25" i="31" s="1"/>
  <c r="N24" i="31"/>
  <c r="J24" i="31"/>
  <c r="K24" i="31" s="1"/>
  <c r="N23" i="31"/>
  <c r="J23" i="31"/>
  <c r="K23" i="31" s="1"/>
  <c r="N22" i="31"/>
  <c r="J22" i="31"/>
  <c r="K22" i="31" s="1"/>
  <c r="N21" i="31"/>
  <c r="J21" i="31"/>
  <c r="K21" i="31" s="1"/>
  <c r="N20" i="31"/>
  <c r="J20" i="31"/>
  <c r="K20" i="31" s="1"/>
  <c r="N19" i="31"/>
  <c r="J19" i="31"/>
  <c r="K19" i="31" s="1"/>
  <c r="N18" i="31"/>
  <c r="J18" i="31"/>
  <c r="K18" i="31" s="1"/>
  <c r="N17" i="31"/>
  <c r="J17" i="31"/>
  <c r="K17" i="31" s="1"/>
  <c r="N16" i="31"/>
  <c r="J16" i="31"/>
  <c r="K16" i="31" s="1"/>
  <c r="N15" i="31"/>
  <c r="J15" i="31"/>
  <c r="K15" i="31" s="1"/>
  <c r="N14" i="31"/>
  <c r="J14" i="31"/>
  <c r="K14" i="31" s="1"/>
  <c r="N13" i="31"/>
  <c r="J13" i="31"/>
  <c r="K13" i="31" s="1"/>
  <c r="N12" i="31"/>
  <c r="J12" i="31"/>
  <c r="K12" i="31" s="1"/>
  <c r="N11" i="31"/>
  <c r="J11" i="31"/>
  <c r="K11" i="31" s="1"/>
  <c r="N10" i="31"/>
  <c r="J10" i="31"/>
  <c r="K10" i="31" s="1"/>
  <c r="N9" i="31"/>
  <c r="J9" i="31"/>
  <c r="K9" i="31" s="1"/>
  <c r="N8" i="31"/>
  <c r="J8" i="31"/>
  <c r="K8" i="31" s="1"/>
  <c r="N7" i="31"/>
  <c r="J7" i="31"/>
  <c r="K7" i="31" s="1"/>
  <c r="N6" i="31"/>
  <c r="J6" i="31"/>
  <c r="N5" i="31"/>
  <c r="J5" i="31"/>
  <c r="K5" i="31" s="1"/>
  <c r="N4" i="31"/>
  <c r="J4" i="31"/>
  <c r="N3" i="31"/>
  <c r="J3" i="31"/>
  <c r="K3" i="31" s="1"/>
  <c r="N2" i="31"/>
  <c r="J2" i="31"/>
  <c r="H2" i="31" s="1"/>
  <c r="N32" i="28"/>
  <c r="J32" i="28"/>
  <c r="K32" i="28" s="1"/>
  <c r="N31" i="28"/>
  <c r="J31" i="28"/>
  <c r="N30" i="28"/>
  <c r="J30" i="28"/>
  <c r="K30" i="28" s="1"/>
  <c r="N29" i="28"/>
  <c r="J29" i="28"/>
  <c r="K29" i="28" s="1"/>
  <c r="N28" i="28"/>
  <c r="J28" i="28"/>
  <c r="K28" i="28" s="1"/>
  <c r="N27" i="28"/>
  <c r="J27" i="28"/>
  <c r="N26" i="28"/>
  <c r="J26" i="28"/>
  <c r="K26" i="28" s="1"/>
  <c r="N25" i="28"/>
  <c r="J25" i="28"/>
  <c r="K25" i="28" s="1"/>
  <c r="N24" i="28"/>
  <c r="J24" i="28"/>
  <c r="K24" i="28" s="1"/>
  <c r="N23" i="28"/>
  <c r="J23" i="28"/>
  <c r="N22" i="28"/>
  <c r="J22" i="28"/>
  <c r="K22" i="28" s="1"/>
  <c r="N21" i="28"/>
  <c r="J21" i="28"/>
  <c r="K21" i="28" s="1"/>
  <c r="N20" i="28"/>
  <c r="J20" i="28"/>
  <c r="K20" i="28" s="1"/>
  <c r="N19" i="28"/>
  <c r="J19" i="28"/>
  <c r="N18" i="28"/>
  <c r="J18" i="28"/>
  <c r="K18" i="28" s="1"/>
  <c r="N17" i="28"/>
  <c r="J17" i="28"/>
  <c r="K17" i="28" s="1"/>
  <c r="N16" i="28"/>
  <c r="J16" i="28"/>
  <c r="K16" i="28" s="1"/>
  <c r="N15" i="28"/>
  <c r="J15" i="28"/>
  <c r="K15" i="28" s="1"/>
  <c r="N14" i="28"/>
  <c r="J14" i="28"/>
  <c r="K14" i="28" s="1"/>
  <c r="N13" i="28"/>
  <c r="J13" i="28"/>
  <c r="K13" i="28" s="1"/>
  <c r="N12" i="28"/>
  <c r="J12" i="28"/>
  <c r="K12" i="28" s="1"/>
  <c r="N11" i="28"/>
  <c r="J11" i="28"/>
  <c r="N10" i="28"/>
  <c r="J10" i="28"/>
  <c r="K10" i="28" s="1"/>
  <c r="N9" i="28"/>
  <c r="J9" i="28"/>
  <c r="N8" i="28"/>
  <c r="J8" i="28"/>
  <c r="K8" i="28" s="1"/>
  <c r="N7" i="28"/>
  <c r="J7" i="28"/>
  <c r="N6" i="28"/>
  <c r="J6" i="28"/>
  <c r="K6" i="28" s="1"/>
  <c r="N5" i="28"/>
  <c r="J5" i="28"/>
  <c r="K5" i="28" s="1"/>
  <c r="N4" i="28"/>
  <c r="J4" i="28"/>
  <c r="N3" i="28"/>
  <c r="J3" i="28"/>
  <c r="K3" i="28" s="1"/>
  <c r="N2" i="28"/>
  <c r="J2" i="28"/>
  <c r="N32" i="22"/>
  <c r="J32" i="22"/>
  <c r="K32" i="22" s="1"/>
  <c r="N31" i="22"/>
  <c r="J31" i="22"/>
  <c r="K31" i="22" s="1"/>
  <c r="N30" i="22"/>
  <c r="J30" i="22"/>
  <c r="K30" i="22" s="1"/>
  <c r="N29" i="22"/>
  <c r="J29" i="22"/>
  <c r="K29" i="22" s="1"/>
  <c r="N28" i="22"/>
  <c r="J28" i="22"/>
  <c r="K28" i="22" s="1"/>
  <c r="N27" i="22"/>
  <c r="J27" i="22"/>
  <c r="K27" i="22" s="1"/>
  <c r="N26" i="22"/>
  <c r="J26" i="22"/>
  <c r="K26" i="22" s="1"/>
  <c r="N25" i="22"/>
  <c r="J25" i="22"/>
  <c r="K25" i="22" s="1"/>
  <c r="N24" i="22"/>
  <c r="J24" i="22"/>
  <c r="K24" i="22" s="1"/>
  <c r="N23" i="22"/>
  <c r="J23" i="22"/>
  <c r="K23" i="22" s="1"/>
  <c r="N22" i="22"/>
  <c r="J22" i="22"/>
  <c r="K22" i="22" s="1"/>
  <c r="N21" i="22"/>
  <c r="J21" i="22"/>
  <c r="K21" i="22" s="1"/>
  <c r="N20" i="22"/>
  <c r="J20" i="22"/>
  <c r="K20" i="22" s="1"/>
  <c r="N19" i="22"/>
  <c r="J19" i="22"/>
  <c r="K19" i="22" s="1"/>
  <c r="N18" i="22"/>
  <c r="J18" i="22"/>
  <c r="K18" i="22" s="1"/>
  <c r="N17" i="22"/>
  <c r="J17" i="22"/>
  <c r="K17" i="22" s="1"/>
  <c r="N16" i="22"/>
  <c r="J16" i="22"/>
  <c r="K16" i="22" s="1"/>
  <c r="N15" i="22"/>
  <c r="J15" i="22"/>
  <c r="K15" i="22" s="1"/>
  <c r="N14" i="22"/>
  <c r="J14" i="22"/>
  <c r="K14" i="22" s="1"/>
  <c r="N13" i="22"/>
  <c r="J13" i="22"/>
  <c r="K13" i="22" s="1"/>
  <c r="N12" i="22"/>
  <c r="J12" i="22"/>
  <c r="K12" i="22" s="1"/>
  <c r="N11" i="22"/>
  <c r="J11" i="22"/>
  <c r="K11" i="22" s="1"/>
  <c r="N10" i="22"/>
  <c r="J10" i="22"/>
  <c r="K10" i="22" s="1"/>
  <c r="N9" i="22"/>
  <c r="J9" i="22"/>
  <c r="K9" i="22" s="1"/>
  <c r="N8" i="22"/>
  <c r="J8" i="22"/>
  <c r="N7" i="22"/>
  <c r="J7" i="22"/>
  <c r="K7" i="22" s="1"/>
  <c r="N6" i="22"/>
  <c r="J6" i="22"/>
  <c r="N5" i="22"/>
  <c r="J5" i="22"/>
  <c r="N4" i="22"/>
  <c r="J4" i="22"/>
  <c r="N3" i="22"/>
  <c r="J3" i="22"/>
  <c r="N2" i="22"/>
  <c r="J2" i="22"/>
  <c r="H2" i="22" s="1"/>
  <c r="N32" i="21"/>
  <c r="J32" i="21"/>
  <c r="K32" i="21" s="1"/>
  <c r="N31" i="21"/>
  <c r="J31" i="21"/>
  <c r="K31" i="21" s="1"/>
  <c r="N30" i="21"/>
  <c r="J30" i="21"/>
  <c r="K30" i="21" s="1"/>
  <c r="N29" i="21"/>
  <c r="J29" i="21"/>
  <c r="K29" i="21" s="1"/>
  <c r="N28" i="21"/>
  <c r="J28" i="21"/>
  <c r="K28" i="21" s="1"/>
  <c r="N27" i="21"/>
  <c r="J27" i="21"/>
  <c r="K27" i="21" s="1"/>
  <c r="N26" i="21"/>
  <c r="J26" i="21"/>
  <c r="K26" i="21" s="1"/>
  <c r="N25" i="21"/>
  <c r="J25" i="21"/>
  <c r="K25" i="21" s="1"/>
  <c r="N24" i="21"/>
  <c r="J24" i="21"/>
  <c r="K24" i="21" s="1"/>
  <c r="N23" i="21"/>
  <c r="J23" i="21"/>
  <c r="N22" i="21"/>
  <c r="J22" i="21"/>
  <c r="K22" i="21" s="1"/>
  <c r="N21" i="21"/>
  <c r="J21" i="21"/>
  <c r="K21" i="21" s="1"/>
  <c r="N20" i="21"/>
  <c r="J20" i="21"/>
  <c r="K20" i="21" s="1"/>
  <c r="N19" i="21"/>
  <c r="J19" i="21"/>
  <c r="K19" i="21" s="1"/>
  <c r="N18" i="21"/>
  <c r="J18" i="21"/>
  <c r="K18" i="21" s="1"/>
  <c r="N17" i="21"/>
  <c r="J17" i="21"/>
  <c r="K17" i="21" s="1"/>
  <c r="N16" i="21"/>
  <c r="J16" i="21"/>
  <c r="K16" i="21" s="1"/>
  <c r="N15" i="21"/>
  <c r="J15" i="21"/>
  <c r="K15" i="21" s="1"/>
  <c r="N14" i="21"/>
  <c r="J14" i="21"/>
  <c r="K14" i="21" s="1"/>
  <c r="N13" i="21"/>
  <c r="J13" i="21"/>
  <c r="K13" i="21" s="1"/>
  <c r="N12" i="21"/>
  <c r="J12" i="21"/>
  <c r="K12" i="21" s="1"/>
  <c r="N11" i="21"/>
  <c r="J11" i="21"/>
  <c r="K11" i="21" s="1"/>
  <c r="N10" i="21"/>
  <c r="J10" i="21"/>
  <c r="K10" i="21" s="1"/>
  <c r="N9" i="21"/>
  <c r="J9" i="21"/>
  <c r="K9" i="21" s="1"/>
  <c r="N8" i="21"/>
  <c r="J8" i="21"/>
  <c r="K8" i="21" s="1"/>
  <c r="N7" i="21"/>
  <c r="J7" i="21"/>
  <c r="K7" i="21" s="1"/>
  <c r="N6" i="21"/>
  <c r="J6" i="21"/>
  <c r="N5" i="21"/>
  <c r="J5" i="21"/>
  <c r="K5" i="21" s="1"/>
  <c r="N4" i="21"/>
  <c r="J4" i="21"/>
  <c r="N3" i="21"/>
  <c r="J3" i="21"/>
  <c r="K3" i="21" s="1"/>
  <c r="N2" i="21"/>
  <c r="J2" i="21"/>
  <c r="N32" i="20"/>
  <c r="J32" i="20"/>
  <c r="K32" i="20" s="1"/>
  <c r="N31" i="20"/>
  <c r="J31" i="20"/>
  <c r="K31" i="20" s="1"/>
  <c r="N30" i="20"/>
  <c r="J30" i="20"/>
  <c r="K30" i="20" s="1"/>
  <c r="N29" i="20"/>
  <c r="J29" i="20"/>
  <c r="N28" i="20"/>
  <c r="J28" i="20"/>
  <c r="K28" i="20" s="1"/>
  <c r="N27" i="20"/>
  <c r="J27" i="20"/>
  <c r="K27" i="20" s="1"/>
  <c r="N26" i="20"/>
  <c r="J26" i="20"/>
  <c r="K26" i="20" s="1"/>
  <c r="N25" i="20"/>
  <c r="J25" i="20"/>
  <c r="N24" i="20"/>
  <c r="J24" i="20"/>
  <c r="N23" i="20"/>
  <c r="J23" i="20"/>
  <c r="K23" i="20" s="1"/>
  <c r="N22" i="20"/>
  <c r="J22" i="20"/>
  <c r="K22" i="20" s="1"/>
  <c r="N21" i="20"/>
  <c r="J21" i="20"/>
  <c r="K21" i="20" s="1"/>
  <c r="N20" i="20"/>
  <c r="J20" i="20"/>
  <c r="K20" i="20" s="1"/>
  <c r="N19" i="20"/>
  <c r="J19" i="20"/>
  <c r="K19" i="20" s="1"/>
  <c r="N18" i="20"/>
  <c r="J18" i="20"/>
  <c r="N17" i="20"/>
  <c r="J17" i="20"/>
  <c r="K17" i="20" s="1"/>
  <c r="N16" i="20"/>
  <c r="J16" i="20"/>
  <c r="N15" i="20"/>
  <c r="J15" i="20"/>
  <c r="N14" i="20"/>
  <c r="J14" i="20"/>
  <c r="K14" i="20" s="1"/>
  <c r="N13" i="20"/>
  <c r="J13" i="20"/>
  <c r="N12" i="20"/>
  <c r="J12" i="20"/>
  <c r="N11" i="20"/>
  <c r="J11" i="20"/>
  <c r="K11" i="20" s="1"/>
  <c r="N10" i="20"/>
  <c r="J10" i="20"/>
  <c r="N9" i="20"/>
  <c r="J9" i="20"/>
  <c r="N8" i="20"/>
  <c r="J8" i="20"/>
  <c r="N7" i="20"/>
  <c r="J7" i="20"/>
  <c r="K7" i="20" s="1"/>
  <c r="N6" i="20"/>
  <c r="J6" i="20"/>
  <c r="K6" i="20" s="1"/>
  <c r="N5" i="20"/>
  <c r="J5" i="20"/>
  <c r="K5" i="20" s="1"/>
  <c r="N4" i="20"/>
  <c r="J4" i="20"/>
  <c r="N3" i="20"/>
  <c r="J3" i="20"/>
  <c r="K3" i="20" s="1"/>
  <c r="N2" i="20"/>
  <c r="J2" i="20"/>
  <c r="H2" i="20" s="1"/>
  <c r="N32" i="19"/>
  <c r="J32" i="19"/>
  <c r="K32" i="19" s="1"/>
  <c r="N31" i="19"/>
  <c r="J31" i="19"/>
  <c r="K31" i="19" s="1"/>
  <c r="N30" i="19"/>
  <c r="J30" i="19"/>
  <c r="K30" i="19" s="1"/>
  <c r="N29" i="19"/>
  <c r="J29" i="19"/>
  <c r="K29" i="19" s="1"/>
  <c r="N28" i="19"/>
  <c r="J28" i="19"/>
  <c r="K28" i="19" s="1"/>
  <c r="N27" i="19"/>
  <c r="J27" i="19"/>
  <c r="K27" i="19" s="1"/>
  <c r="N26" i="19"/>
  <c r="J26" i="19"/>
  <c r="N25" i="19"/>
  <c r="J25" i="19"/>
  <c r="K25" i="19" s="1"/>
  <c r="N24" i="19"/>
  <c r="J24" i="19"/>
  <c r="K24" i="19" s="1"/>
  <c r="N23" i="19"/>
  <c r="J23" i="19"/>
  <c r="K23" i="19" s="1"/>
  <c r="N22" i="19"/>
  <c r="J22" i="19"/>
  <c r="N21" i="19"/>
  <c r="J21" i="19"/>
  <c r="K21" i="19" s="1"/>
  <c r="N20" i="19"/>
  <c r="J20" i="19"/>
  <c r="N19" i="19"/>
  <c r="J19" i="19"/>
  <c r="N18" i="19"/>
  <c r="J18" i="19"/>
  <c r="N17" i="19"/>
  <c r="J17" i="19"/>
  <c r="K17" i="19" s="1"/>
  <c r="N16" i="19"/>
  <c r="J16" i="19"/>
  <c r="N15" i="19"/>
  <c r="J15" i="19"/>
  <c r="N14" i="19"/>
  <c r="J14" i="19"/>
  <c r="N13" i="19"/>
  <c r="J13" i="19"/>
  <c r="N12" i="19"/>
  <c r="J12" i="19"/>
  <c r="N11" i="19"/>
  <c r="J11" i="19"/>
  <c r="N10" i="19"/>
  <c r="J10" i="19"/>
  <c r="N9" i="19"/>
  <c r="J9" i="19"/>
  <c r="N8" i="19"/>
  <c r="J8" i="19"/>
  <c r="N7" i="19"/>
  <c r="J7" i="19"/>
  <c r="K7" i="19" s="1"/>
  <c r="N6" i="19"/>
  <c r="J6" i="19"/>
  <c r="K6" i="19" s="1"/>
  <c r="N5" i="19"/>
  <c r="J5" i="19"/>
  <c r="K5" i="19" s="1"/>
  <c r="N4" i="19"/>
  <c r="J4" i="19"/>
  <c r="K4" i="19" s="1"/>
  <c r="N3" i="19"/>
  <c r="J3" i="19"/>
  <c r="N2" i="19"/>
  <c r="J2" i="19"/>
  <c r="N32" i="18"/>
  <c r="J32" i="18"/>
  <c r="K32" i="18" s="1"/>
  <c r="N31" i="18"/>
  <c r="J31" i="18"/>
  <c r="K31" i="18" s="1"/>
  <c r="N30" i="18"/>
  <c r="J30" i="18"/>
  <c r="K30" i="18" s="1"/>
  <c r="N29" i="18"/>
  <c r="J29" i="18"/>
  <c r="K29" i="18" s="1"/>
  <c r="N28" i="18"/>
  <c r="J28" i="18"/>
  <c r="K28" i="18" s="1"/>
  <c r="N27" i="18"/>
  <c r="J27" i="18"/>
  <c r="K27" i="18" s="1"/>
  <c r="N26" i="18"/>
  <c r="J26" i="18"/>
  <c r="K26" i="18" s="1"/>
  <c r="N25" i="18"/>
  <c r="J25" i="18"/>
  <c r="K25" i="18" s="1"/>
  <c r="N24" i="18"/>
  <c r="J24" i="18"/>
  <c r="K24" i="18" s="1"/>
  <c r="N23" i="18"/>
  <c r="J23" i="18"/>
  <c r="K23" i="18" s="1"/>
  <c r="N22" i="18"/>
  <c r="J22" i="18"/>
  <c r="K22" i="18" s="1"/>
  <c r="N21" i="18"/>
  <c r="J21" i="18"/>
  <c r="K21" i="18" s="1"/>
  <c r="N20" i="18"/>
  <c r="J20" i="18"/>
  <c r="K20" i="18" s="1"/>
  <c r="N19" i="18"/>
  <c r="J19" i="18"/>
  <c r="K19" i="18" s="1"/>
  <c r="N18" i="18"/>
  <c r="J18" i="18"/>
  <c r="K18" i="18" s="1"/>
  <c r="N17" i="18"/>
  <c r="J17" i="18"/>
  <c r="K17" i="18" s="1"/>
  <c r="N16" i="18"/>
  <c r="J16" i="18"/>
  <c r="K16" i="18" s="1"/>
  <c r="N15" i="18"/>
  <c r="J15" i="18"/>
  <c r="K15" i="18" s="1"/>
  <c r="N14" i="18"/>
  <c r="J14" i="18"/>
  <c r="K14" i="18" s="1"/>
  <c r="N13" i="18"/>
  <c r="J13" i="18"/>
  <c r="K13" i="18" s="1"/>
  <c r="N12" i="18"/>
  <c r="J12" i="18"/>
  <c r="K12" i="18" s="1"/>
  <c r="N11" i="18"/>
  <c r="J11" i="18"/>
  <c r="K11" i="18" s="1"/>
  <c r="N10" i="18"/>
  <c r="J10" i="18"/>
  <c r="K10" i="18" s="1"/>
  <c r="N9" i="18"/>
  <c r="J9" i="18"/>
  <c r="K9" i="18" s="1"/>
  <c r="N8" i="18"/>
  <c r="J8" i="18"/>
  <c r="K8" i="18" s="1"/>
  <c r="N7" i="18"/>
  <c r="J7" i="18"/>
  <c r="K7" i="18" s="1"/>
  <c r="N6" i="18"/>
  <c r="J6" i="18"/>
  <c r="K6" i="18" s="1"/>
  <c r="N5" i="18"/>
  <c r="J5" i="18"/>
  <c r="K5" i="18" s="1"/>
  <c r="N4" i="18"/>
  <c r="J4" i="18"/>
  <c r="N3" i="18"/>
  <c r="J3" i="18"/>
  <c r="N2" i="18"/>
  <c r="J2" i="18"/>
  <c r="B2" i="18"/>
  <c r="B3" i="16"/>
  <c r="B4" i="16"/>
  <c r="B5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2" i="16"/>
  <c r="G34" i="16"/>
  <c r="G37" i="16" s="1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2" i="16"/>
  <c r="H26" i="33" l="1"/>
  <c r="H6" i="32"/>
  <c r="H2" i="33"/>
  <c r="H17" i="32"/>
  <c r="H14" i="33"/>
  <c r="H19" i="33"/>
  <c r="H29" i="28"/>
  <c r="H26" i="32"/>
  <c r="H14" i="32"/>
  <c r="H30" i="32"/>
  <c r="H28" i="32"/>
  <c r="H3" i="32"/>
  <c r="H31" i="33"/>
  <c r="H27" i="32"/>
  <c r="K27" i="32"/>
  <c r="L27" i="32" s="1"/>
  <c r="M27" i="32" s="1"/>
  <c r="K21" i="33"/>
  <c r="L21" i="33" s="1"/>
  <c r="M21" i="33" s="1"/>
  <c r="H4" i="28"/>
  <c r="K4" i="28"/>
  <c r="L4" i="28" s="1"/>
  <c r="M4" i="28" s="1"/>
  <c r="H14" i="19"/>
  <c r="K14" i="19"/>
  <c r="L14" i="19" s="1"/>
  <c r="M14" i="19" s="1"/>
  <c r="H22" i="19"/>
  <c r="K22" i="19"/>
  <c r="L22" i="19" s="1"/>
  <c r="M22" i="19" s="1"/>
  <c r="H9" i="28"/>
  <c r="K9" i="28"/>
  <c r="L9" i="28" s="1"/>
  <c r="M9" i="28" s="1"/>
  <c r="H10" i="32"/>
  <c r="K10" i="32"/>
  <c r="L10" i="32" s="1"/>
  <c r="M10" i="32" s="1"/>
  <c r="K17" i="33"/>
  <c r="L17" i="33" s="1"/>
  <c r="M17" i="33" s="1"/>
  <c r="K11" i="33"/>
  <c r="L11" i="33" s="1"/>
  <c r="M11" i="33" s="1"/>
  <c r="H16" i="20"/>
  <c r="K16" i="20"/>
  <c r="L16" i="20" s="1"/>
  <c r="M16" i="20" s="1"/>
  <c r="H13" i="32"/>
  <c r="K13" i="32"/>
  <c r="L13" i="32" s="1"/>
  <c r="M13" i="32" s="1"/>
  <c r="H11" i="32"/>
  <c r="H20" i="32"/>
  <c r="K20" i="32"/>
  <c r="L20" i="32" s="1"/>
  <c r="M20" i="32" s="1"/>
  <c r="H29" i="32"/>
  <c r="H31" i="32"/>
  <c r="K31" i="32"/>
  <c r="L31" i="32" s="1"/>
  <c r="M31" i="32" s="1"/>
  <c r="K4" i="33"/>
  <c r="L4" i="33" s="1"/>
  <c r="M4" i="33" s="1"/>
  <c r="K6" i="33"/>
  <c r="L6" i="33" s="1"/>
  <c r="M6" i="33" s="1"/>
  <c r="H18" i="33"/>
  <c r="K18" i="33"/>
  <c r="H23" i="33"/>
  <c r="K23" i="33"/>
  <c r="H32" i="33"/>
  <c r="K32" i="33"/>
  <c r="L32" i="33" s="1"/>
  <c r="M32" i="33" s="1"/>
  <c r="H31" i="28"/>
  <c r="K31" i="28"/>
  <c r="L31" i="28" s="1"/>
  <c r="M31" i="28" s="1"/>
  <c r="H4" i="22"/>
  <c r="K4" i="22"/>
  <c r="L4" i="22" s="1"/>
  <c r="M4" i="22" s="1"/>
  <c r="H8" i="22"/>
  <c r="K8" i="22"/>
  <c r="L8" i="22" s="1"/>
  <c r="M8" i="22" s="1"/>
  <c r="H21" i="32"/>
  <c r="K21" i="32"/>
  <c r="L21" i="32" s="1"/>
  <c r="M21" i="32" s="1"/>
  <c r="K3" i="33"/>
  <c r="L3" i="33" s="1"/>
  <c r="M3" i="33" s="1"/>
  <c r="K10" i="33"/>
  <c r="L10" i="33" s="1"/>
  <c r="M10" i="33" s="1"/>
  <c r="K12" i="33"/>
  <c r="L12" i="33" s="1"/>
  <c r="M12" i="33" s="1"/>
  <c r="H24" i="33"/>
  <c r="K24" i="33"/>
  <c r="L24" i="33" s="1"/>
  <c r="M24" i="33" s="1"/>
  <c r="H28" i="33"/>
  <c r="K28" i="33"/>
  <c r="L28" i="33" s="1"/>
  <c r="M28" i="33" s="1"/>
  <c r="H25" i="32"/>
  <c r="K25" i="32"/>
  <c r="L25" i="32" s="1"/>
  <c r="M25" i="32" s="1"/>
  <c r="K5" i="33"/>
  <c r="L5" i="33" s="1"/>
  <c r="M5" i="33" s="1"/>
  <c r="K7" i="33"/>
  <c r="L7" i="33" s="1"/>
  <c r="M7" i="33" s="1"/>
  <c r="K9" i="33"/>
  <c r="L9" i="33" s="1"/>
  <c r="M9" i="33" s="1"/>
  <c r="H15" i="19"/>
  <c r="K15" i="19"/>
  <c r="L15" i="19" s="1"/>
  <c r="M15" i="19" s="1"/>
  <c r="H8" i="20"/>
  <c r="K8" i="20"/>
  <c r="L8" i="20" s="1"/>
  <c r="M8" i="20" s="1"/>
  <c r="H12" i="20"/>
  <c r="K12" i="20"/>
  <c r="L12" i="20" s="1"/>
  <c r="M12" i="20" s="1"/>
  <c r="H6" i="22"/>
  <c r="K6" i="22"/>
  <c r="L6" i="22" s="1"/>
  <c r="K15" i="33"/>
  <c r="L15" i="33" s="1"/>
  <c r="M15" i="33" s="1"/>
  <c r="H29" i="33"/>
  <c r="K29" i="33"/>
  <c r="L29" i="33" s="1"/>
  <c r="M29" i="33" s="1"/>
  <c r="H8" i="19"/>
  <c r="K8" i="19"/>
  <c r="L8" i="19" s="1"/>
  <c r="M8" i="19" s="1"/>
  <c r="H6" i="21"/>
  <c r="K6" i="21"/>
  <c r="L6" i="21" s="1"/>
  <c r="M6" i="21" s="1"/>
  <c r="H11" i="28"/>
  <c r="K11" i="28"/>
  <c r="L11" i="28" s="1"/>
  <c r="M11" i="28" s="1"/>
  <c r="H19" i="28"/>
  <c r="K19" i="28"/>
  <c r="L19" i="28" s="1"/>
  <c r="M19" i="28" s="1"/>
  <c r="H23" i="28"/>
  <c r="K23" i="28"/>
  <c r="L23" i="28" s="1"/>
  <c r="M23" i="28" s="1"/>
  <c r="H27" i="28"/>
  <c r="K27" i="28"/>
  <c r="L27" i="28" s="1"/>
  <c r="M27" i="28" s="1"/>
  <c r="H5" i="32"/>
  <c r="H9" i="32"/>
  <c r="H16" i="32"/>
  <c r="K16" i="32"/>
  <c r="L16" i="32" s="1"/>
  <c r="M16" i="32" s="1"/>
  <c r="K8" i="33"/>
  <c r="L8" i="33" s="1"/>
  <c r="M8" i="33" s="1"/>
  <c r="H23" i="32"/>
  <c r="K23" i="32"/>
  <c r="L23" i="32" s="1"/>
  <c r="M23" i="32" s="1"/>
  <c r="H18" i="32"/>
  <c r="K18" i="32"/>
  <c r="L18" i="32" s="1"/>
  <c r="M18" i="32" s="1"/>
  <c r="H15" i="32"/>
  <c r="K15" i="32"/>
  <c r="L15" i="32" s="1"/>
  <c r="M15" i="32" s="1"/>
  <c r="H12" i="32"/>
  <c r="K12" i="32"/>
  <c r="L12" i="32" s="1"/>
  <c r="M12" i="32" s="1"/>
  <c r="H8" i="32"/>
  <c r="K8" i="32"/>
  <c r="L8" i="32" s="1"/>
  <c r="M8" i="32" s="1"/>
  <c r="H4" i="32"/>
  <c r="K4" i="32"/>
  <c r="L4" i="32" s="1"/>
  <c r="M4" i="32" s="1"/>
  <c r="H30" i="33"/>
  <c r="H27" i="33"/>
  <c r="K27" i="33"/>
  <c r="L27" i="33" s="1"/>
  <c r="M27" i="33" s="1"/>
  <c r="H25" i="33"/>
  <c r="K25" i="33"/>
  <c r="L25" i="33" s="1"/>
  <c r="M25" i="33" s="1"/>
  <c r="K16" i="33"/>
  <c r="L16" i="33" s="1"/>
  <c r="M16" i="33" s="1"/>
  <c r="K13" i="33"/>
  <c r="L13" i="33" s="1"/>
  <c r="M13" i="33" s="1"/>
  <c r="H7" i="28"/>
  <c r="K7" i="28"/>
  <c r="L7" i="28" s="1"/>
  <c r="M7" i="28" s="1"/>
  <c r="H15" i="21"/>
  <c r="L15" i="21"/>
  <c r="M15" i="21" s="1"/>
  <c r="H4" i="21"/>
  <c r="K4" i="21"/>
  <c r="L4" i="21" s="1"/>
  <c r="M4" i="21" s="1"/>
  <c r="H6" i="31"/>
  <c r="K6" i="31"/>
  <c r="L6" i="31" s="1"/>
  <c r="M6" i="31" s="1"/>
  <c r="H4" i="31"/>
  <c r="L4" i="31"/>
  <c r="M4" i="31" s="1"/>
  <c r="H26" i="19"/>
  <c r="K26" i="19"/>
  <c r="L26" i="19" s="1"/>
  <c r="M26" i="19" s="1"/>
  <c r="H20" i="19"/>
  <c r="K20" i="19"/>
  <c r="L20" i="19" s="1"/>
  <c r="M20" i="19" s="1"/>
  <c r="H19" i="19"/>
  <c r="K19" i="19"/>
  <c r="L19" i="19" s="1"/>
  <c r="M19" i="19" s="1"/>
  <c r="H18" i="19"/>
  <c r="K18" i="19"/>
  <c r="L18" i="19" s="1"/>
  <c r="M18" i="19" s="1"/>
  <c r="H16" i="19"/>
  <c r="K16" i="19"/>
  <c r="L16" i="19" s="1"/>
  <c r="M16" i="19" s="1"/>
  <c r="H12" i="19"/>
  <c r="K12" i="19"/>
  <c r="L12" i="19" s="1"/>
  <c r="M12" i="19" s="1"/>
  <c r="H11" i="19"/>
  <c r="K11" i="19"/>
  <c r="L11" i="19" s="1"/>
  <c r="M11" i="19" s="1"/>
  <c r="H10" i="19"/>
  <c r="K10" i="19"/>
  <c r="L10" i="19" s="1"/>
  <c r="M10" i="19" s="1"/>
  <c r="H9" i="19"/>
  <c r="K9" i="19"/>
  <c r="L9" i="19" s="1"/>
  <c r="M9" i="19" s="1"/>
  <c r="H6" i="19"/>
  <c r="L6" i="19"/>
  <c r="H23" i="20"/>
  <c r="L23" i="20"/>
  <c r="M23" i="20" s="1"/>
  <c r="H20" i="20"/>
  <c r="L20" i="20"/>
  <c r="M20" i="20" s="1"/>
  <c r="H18" i="20"/>
  <c r="K18" i="20"/>
  <c r="L18" i="20" s="1"/>
  <c r="M18" i="20" s="1"/>
  <c r="H15" i="20"/>
  <c r="K15" i="20"/>
  <c r="L15" i="20" s="1"/>
  <c r="M15" i="20" s="1"/>
  <c r="H13" i="20"/>
  <c r="K13" i="20"/>
  <c r="L13" i="20" s="1"/>
  <c r="M13" i="20" s="1"/>
  <c r="H10" i="20"/>
  <c r="K10" i="20"/>
  <c r="L10" i="20" s="1"/>
  <c r="M10" i="20" s="1"/>
  <c r="H9" i="20"/>
  <c r="K9" i="20"/>
  <c r="L9" i="20" s="1"/>
  <c r="M9" i="20" s="1"/>
  <c r="H6" i="20"/>
  <c r="L6" i="20"/>
  <c r="M6" i="20" s="1"/>
  <c r="H4" i="20"/>
  <c r="K4" i="20"/>
  <c r="L4" i="20" s="1"/>
  <c r="M4" i="20" s="1"/>
  <c r="H5" i="22"/>
  <c r="K5" i="22"/>
  <c r="L5" i="22" s="1"/>
  <c r="M5" i="22" s="1"/>
  <c r="H3" i="22"/>
  <c r="K3" i="22"/>
  <c r="L3" i="22" s="1"/>
  <c r="M3" i="22" s="1"/>
  <c r="H4" i="18"/>
  <c r="K4" i="18"/>
  <c r="L4" i="18" s="1"/>
  <c r="H3" i="18"/>
  <c r="K3" i="18"/>
  <c r="L3" i="18" s="1"/>
  <c r="M3" i="18" s="1"/>
  <c r="H6" i="33"/>
  <c r="H22" i="32"/>
  <c r="H24" i="32"/>
  <c r="H11" i="33"/>
  <c r="H6" i="18"/>
  <c r="H7" i="18"/>
  <c r="M2" i="33"/>
  <c r="L19" i="33"/>
  <c r="M19" i="33" s="1"/>
  <c r="H15" i="33"/>
  <c r="H16" i="33"/>
  <c r="H17" i="33"/>
  <c r="N34" i="32"/>
  <c r="H20" i="33"/>
  <c r="H21" i="33"/>
  <c r="L18" i="33"/>
  <c r="M18" i="33" s="1"/>
  <c r="J34" i="33"/>
  <c r="L14" i="33"/>
  <c r="M14" i="33" s="1"/>
  <c r="N34" i="33"/>
  <c r="H32" i="32"/>
  <c r="L20" i="33"/>
  <c r="M20" i="33" s="1"/>
  <c r="L23" i="33"/>
  <c r="M23" i="33" s="1"/>
  <c r="L26" i="33"/>
  <c r="M26" i="33" s="1"/>
  <c r="L30" i="33"/>
  <c r="M30" i="33" s="1"/>
  <c r="L31" i="33"/>
  <c r="M31" i="33" s="1"/>
  <c r="J34" i="32"/>
  <c r="L3" i="32"/>
  <c r="M3" i="32" s="1"/>
  <c r="L6" i="32"/>
  <c r="M6" i="32" s="1"/>
  <c r="L7" i="32"/>
  <c r="M7" i="32" s="1"/>
  <c r="L9" i="32"/>
  <c r="M9" i="32" s="1"/>
  <c r="L11" i="32"/>
  <c r="M11" i="32" s="1"/>
  <c r="L14" i="32"/>
  <c r="M14" i="32" s="1"/>
  <c r="L17" i="32"/>
  <c r="M17" i="32" s="1"/>
  <c r="L19" i="32"/>
  <c r="M19" i="32" s="1"/>
  <c r="L22" i="32"/>
  <c r="M22" i="32" s="1"/>
  <c r="L24" i="32"/>
  <c r="M24" i="32" s="1"/>
  <c r="L26" i="32"/>
  <c r="M26" i="32" s="1"/>
  <c r="L28" i="32"/>
  <c r="M28" i="32" s="1"/>
  <c r="L29" i="32"/>
  <c r="M29" i="32" s="1"/>
  <c r="L30" i="32"/>
  <c r="M30" i="32" s="1"/>
  <c r="L32" i="32"/>
  <c r="M32" i="32" s="1"/>
  <c r="L5" i="32"/>
  <c r="M5" i="32" s="1"/>
  <c r="H31" i="20"/>
  <c r="H3" i="28"/>
  <c r="H13" i="28"/>
  <c r="L2" i="31"/>
  <c r="L26" i="28"/>
  <c r="M26" i="28" s="1"/>
  <c r="L2" i="20"/>
  <c r="L5" i="21"/>
  <c r="M5" i="21" s="1"/>
  <c r="H21" i="28"/>
  <c r="L2" i="22"/>
  <c r="M2" i="22" s="1"/>
  <c r="L3" i="19"/>
  <c r="M3" i="19" s="1"/>
  <c r="L18" i="18"/>
  <c r="M18" i="18" s="1"/>
  <c r="L4" i="19"/>
  <c r="M4" i="19" s="1"/>
  <c r="L28" i="18"/>
  <c r="M28" i="18" s="1"/>
  <c r="L5" i="19"/>
  <c r="M5" i="19" s="1"/>
  <c r="L7" i="18"/>
  <c r="M7" i="18" s="1"/>
  <c r="L6" i="18"/>
  <c r="M6" i="18" s="1"/>
  <c r="L10" i="28"/>
  <c r="M10" i="28" s="1"/>
  <c r="L5" i="31"/>
  <c r="M5" i="31" s="1"/>
  <c r="L5" i="18"/>
  <c r="M5" i="18" s="1"/>
  <c r="L23" i="22"/>
  <c r="M23" i="22" s="1"/>
  <c r="L23" i="18"/>
  <c r="M23" i="18" s="1"/>
  <c r="L3" i="20"/>
  <c r="M3" i="20" s="1"/>
  <c r="L5" i="20"/>
  <c r="M5" i="20" s="1"/>
  <c r="L3" i="31"/>
  <c r="M3" i="31" s="1"/>
  <c r="L3" i="21"/>
  <c r="M3" i="21" s="1"/>
  <c r="L17" i="28"/>
  <c r="M17" i="28" s="1"/>
  <c r="L25" i="28"/>
  <c r="M25" i="28" s="1"/>
  <c r="H3" i="21"/>
  <c r="H11" i="22"/>
  <c r="H5" i="21"/>
  <c r="H3" i="31"/>
  <c r="H5" i="19"/>
  <c r="H26" i="18"/>
  <c r="H27" i="18"/>
  <c r="H29" i="22"/>
  <c r="H13" i="22"/>
  <c r="H17" i="19"/>
  <c r="H15" i="28"/>
  <c r="H25" i="19"/>
  <c r="H18" i="22"/>
  <c r="H7" i="19"/>
  <c r="L18" i="22"/>
  <c r="M18" i="22" s="1"/>
  <c r="H17" i="28"/>
  <c r="L17" i="22"/>
  <c r="M17" i="22" s="1"/>
  <c r="H3" i="19"/>
  <c r="H3" i="20"/>
  <c r="L31" i="22"/>
  <c r="M31" i="22" s="1"/>
  <c r="H27" i="22"/>
  <c r="H2" i="28"/>
  <c r="H5" i="31"/>
  <c r="H11" i="18"/>
  <c r="N34" i="31"/>
  <c r="L18" i="28"/>
  <c r="M18" i="28" s="1"/>
  <c r="H28" i="22"/>
  <c r="L21" i="22"/>
  <c r="M21" i="22" s="1"/>
  <c r="L9" i="22"/>
  <c r="M9" i="22" s="1"/>
  <c r="H27" i="19"/>
  <c r="H21" i="19"/>
  <c r="H13" i="19"/>
  <c r="H31" i="19"/>
  <c r="H29" i="19"/>
  <c r="H23" i="19"/>
  <c r="N34" i="19"/>
  <c r="H17" i="18"/>
  <c r="H16" i="18"/>
  <c r="H23" i="22"/>
  <c r="L30" i="28"/>
  <c r="M30" i="28" s="1"/>
  <c r="L14" i="22"/>
  <c r="M14" i="22" s="1"/>
  <c r="H22" i="18"/>
  <c r="H31" i="18"/>
  <c r="J34" i="19"/>
  <c r="L11" i="22"/>
  <c r="M11" i="22" s="1"/>
  <c r="L13" i="22"/>
  <c r="M13" i="22" s="1"/>
  <c r="L21" i="28"/>
  <c r="M21" i="28" s="1"/>
  <c r="H25" i="28"/>
  <c r="J34" i="20"/>
  <c r="H5" i="20"/>
  <c r="H2" i="21"/>
  <c r="H10" i="22"/>
  <c r="H15" i="22"/>
  <c r="H22" i="22"/>
  <c r="H26" i="22"/>
  <c r="J34" i="21"/>
  <c r="L19" i="22"/>
  <c r="M19" i="22" s="1"/>
  <c r="L5" i="28"/>
  <c r="M5" i="28" s="1"/>
  <c r="N34" i="21"/>
  <c r="H2" i="19"/>
  <c r="H4" i="19"/>
  <c r="H24" i="19"/>
  <c r="H28" i="19"/>
  <c r="H30" i="19"/>
  <c r="H32" i="19"/>
  <c r="N34" i="20"/>
  <c r="H9" i="22"/>
  <c r="L10" i="22"/>
  <c r="M10" i="22" s="1"/>
  <c r="L15" i="22"/>
  <c r="M15" i="22" s="1"/>
  <c r="L22" i="22"/>
  <c r="M22" i="22" s="1"/>
  <c r="L26" i="22"/>
  <c r="M26" i="22" s="1"/>
  <c r="H31" i="22"/>
  <c r="J34" i="31"/>
  <c r="H12" i="18"/>
  <c r="H21" i="18"/>
  <c r="H32" i="18"/>
  <c r="N34" i="22"/>
  <c r="H14" i="22"/>
  <c r="H19" i="22"/>
  <c r="H5" i="28"/>
  <c r="L7" i="31"/>
  <c r="M7" i="31" s="1"/>
  <c r="L8" i="31"/>
  <c r="M8" i="31" s="1"/>
  <c r="L9" i="31"/>
  <c r="M9" i="31" s="1"/>
  <c r="L10" i="31"/>
  <c r="M10" i="31" s="1"/>
  <c r="L11" i="31"/>
  <c r="M11" i="31" s="1"/>
  <c r="L12" i="31"/>
  <c r="M12" i="31" s="1"/>
  <c r="L13" i="31"/>
  <c r="M13" i="31" s="1"/>
  <c r="L14" i="31"/>
  <c r="M14" i="31" s="1"/>
  <c r="L15" i="31"/>
  <c r="M15" i="31" s="1"/>
  <c r="L16" i="31"/>
  <c r="M16" i="31" s="1"/>
  <c r="L17" i="31"/>
  <c r="M17" i="31" s="1"/>
  <c r="L18" i="31"/>
  <c r="M18" i="31" s="1"/>
  <c r="L19" i="31"/>
  <c r="M19" i="31" s="1"/>
  <c r="L20" i="31"/>
  <c r="M20" i="31" s="1"/>
  <c r="L21" i="31"/>
  <c r="M21" i="31" s="1"/>
  <c r="L22" i="31"/>
  <c r="M22" i="31" s="1"/>
  <c r="L23" i="31"/>
  <c r="M23" i="31" s="1"/>
  <c r="L24" i="31"/>
  <c r="M24" i="31" s="1"/>
  <c r="L25" i="31"/>
  <c r="M25" i="31" s="1"/>
  <c r="L26" i="31"/>
  <c r="M26" i="31" s="1"/>
  <c r="L27" i="31"/>
  <c r="M27" i="31" s="1"/>
  <c r="L28" i="31"/>
  <c r="M28" i="31" s="1"/>
  <c r="L29" i="31"/>
  <c r="M29" i="31" s="1"/>
  <c r="L30" i="31"/>
  <c r="M30" i="31" s="1"/>
  <c r="L31" i="31"/>
  <c r="M31" i="31" s="1"/>
  <c r="L32" i="31"/>
  <c r="M32" i="31" s="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L6" i="28"/>
  <c r="H6" i="28"/>
  <c r="H16" i="28"/>
  <c r="L16" i="28"/>
  <c r="M16" i="28" s="1"/>
  <c r="L3" i="28"/>
  <c r="M3" i="28" s="1"/>
  <c r="H8" i="28"/>
  <c r="L8" i="28"/>
  <c r="M8" i="28" s="1"/>
  <c r="L13" i="28"/>
  <c r="M13" i="28" s="1"/>
  <c r="L28" i="28"/>
  <c r="M28" i="28" s="1"/>
  <c r="H28" i="28"/>
  <c r="L15" i="28"/>
  <c r="M15" i="28" s="1"/>
  <c r="N34" i="28"/>
  <c r="L20" i="28"/>
  <c r="M20" i="28" s="1"/>
  <c r="H20" i="28"/>
  <c r="L22" i="28"/>
  <c r="M22" i="28" s="1"/>
  <c r="H22" i="28"/>
  <c r="H32" i="28"/>
  <c r="L32" i="28"/>
  <c r="M32" i="28" s="1"/>
  <c r="J34" i="28"/>
  <c r="L12" i="28"/>
  <c r="M12" i="28" s="1"/>
  <c r="H12" i="28"/>
  <c r="L14" i="28"/>
  <c r="M14" i="28" s="1"/>
  <c r="H14" i="28"/>
  <c r="H24" i="28"/>
  <c r="L24" i="28"/>
  <c r="M24" i="28" s="1"/>
  <c r="L29" i="28"/>
  <c r="M29" i="28" s="1"/>
  <c r="H30" i="28"/>
  <c r="L2" i="28"/>
  <c r="H10" i="28"/>
  <c r="H18" i="28"/>
  <c r="H26" i="28"/>
  <c r="L20" i="22"/>
  <c r="M20" i="22" s="1"/>
  <c r="H7" i="22"/>
  <c r="H12" i="22"/>
  <c r="H16" i="22"/>
  <c r="H20" i="22"/>
  <c r="H24" i="22"/>
  <c r="L25" i="22"/>
  <c r="M25" i="22" s="1"/>
  <c r="H30" i="22"/>
  <c r="L32" i="22"/>
  <c r="M32" i="22" s="1"/>
  <c r="L24" i="22"/>
  <c r="M24" i="22" s="1"/>
  <c r="L7" i="22"/>
  <c r="M7" i="22" s="1"/>
  <c r="L29" i="22"/>
  <c r="M29" i="22" s="1"/>
  <c r="L28" i="22"/>
  <c r="M28" i="22" s="1"/>
  <c r="J34" i="22"/>
  <c r="L30" i="22"/>
  <c r="M30" i="22" s="1"/>
  <c r="L27" i="22"/>
  <c r="M27" i="22" s="1"/>
  <c r="H17" i="22"/>
  <c r="H21" i="22"/>
  <c r="H25" i="22"/>
  <c r="H32" i="22"/>
  <c r="L12" i="22"/>
  <c r="M12" i="22" s="1"/>
  <c r="L16" i="22"/>
  <c r="M16" i="22" s="1"/>
  <c r="L7" i="21"/>
  <c r="M7" i="21" s="1"/>
  <c r="L8" i="21"/>
  <c r="M8" i="21" s="1"/>
  <c r="L9" i="21"/>
  <c r="M9" i="21" s="1"/>
  <c r="L10" i="21"/>
  <c r="M10" i="21" s="1"/>
  <c r="L11" i="21"/>
  <c r="M11" i="21" s="1"/>
  <c r="L12" i="21"/>
  <c r="M12" i="21" s="1"/>
  <c r="L13" i="21"/>
  <c r="M13" i="21" s="1"/>
  <c r="L14" i="21"/>
  <c r="M14" i="21" s="1"/>
  <c r="L16" i="21"/>
  <c r="M16" i="21" s="1"/>
  <c r="L17" i="21"/>
  <c r="M17" i="21" s="1"/>
  <c r="L18" i="21"/>
  <c r="M18" i="21" s="1"/>
  <c r="L19" i="21"/>
  <c r="M19" i="21" s="1"/>
  <c r="L20" i="21"/>
  <c r="M20" i="21" s="1"/>
  <c r="L21" i="21"/>
  <c r="M21" i="21" s="1"/>
  <c r="L22" i="21"/>
  <c r="M22" i="21" s="1"/>
  <c r="L23" i="21"/>
  <c r="M23" i="21" s="1"/>
  <c r="L24" i="21"/>
  <c r="M24" i="21" s="1"/>
  <c r="L25" i="21"/>
  <c r="M25" i="21" s="1"/>
  <c r="L26" i="21"/>
  <c r="M26" i="21" s="1"/>
  <c r="L27" i="21"/>
  <c r="M27" i="21" s="1"/>
  <c r="L28" i="21"/>
  <c r="M28" i="21" s="1"/>
  <c r="L29" i="21"/>
  <c r="M29" i="21" s="1"/>
  <c r="L30" i="21"/>
  <c r="M30" i="21" s="1"/>
  <c r="L31" i="21"/>
  <c r="M31" i="21" s="1"/>
  <c r="L32" i="21"/>
  <c r="M32" i="21" s="1"/>
  <c r="L2" i="21"/>
  <c r="H7" i="21"/>
  <c r="H8" i="21"/>
  <c r="H9" i="21"/>
  <c r="H10" i="21"/>
  <c r="H11" i="21"/>
  <c r="H12" i="21"/>
  <c r="H13" i="21"/>
  <c r="H14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L31" i="20"/>
  <c r="M31" i="20" s="1"/>
  <c r="L7" i="20"/>
  <c r="M7" i="20" s="1"/>
  <c r="L11" i="20"/>
  <c r="M11" i="20" s="1"/>
  <c r="L14" i="20"/>
  <c r="M14" i="20" s="1"/>
  <c r="L17" i="20"/>
  <c r="M17" i="20" s="1"/>
  <c r="L19" i="20"/>
  <c r="M19" i="20" s="1"/>
  <c r="L21" i="20"/>
  <c r="M21" i="20" s="1"/>
  <c r="L22" i="20"/>
  <c r="M22" i="20" s="1"/>
  <c r="L24" i="20"/>
  <c r="M24" i="20" s="1"/>
  <c r="L25" i="20"/>
  <c r="M25" i="20" s="1"/>
  <c r="L26" i="20"/>
  <c r="M26" i="20" s="1"/>
  <c r="L27" i="20"/>
  <c r="M27" i="20" s="1"/>
  <c r="L28" i="20"/>
  <c r="M28" i="20" s="1"/>
  <c r="L29" i="20"/>
  <c r="M29" i="20" s="1"/>
  <c r="L30" i="20"/>
  <c r="M30" i="20" s="1"/>
  <c r="L32" i="20"/>
  <c r="M32" i="20" s="1"/>
  <c r="H7" i="20"/>
  <c r="H11" i="20"/>
  <c r="H14" i="20"/>
  <c r="H17" i="20"/>
  <c r="H19" i="20"/>
  <c r="H21" i="20"/>
  <c r="H22" i="20"/>
  <c r="H24" i="20"/>
  <c r="H25" i="20"/>
  <c r="H26" i="20"/>
  <c r="H27" i="20"/>
  <c r="H28" i="20"/>
  <c r="H29" i="20"/>
  <c r="H30" i="20"/>
  <c r="H32" i="20"/>
  <c r="L2" i="19"/>
  <c r="L7" i="19"/>
  <c r="M7" i="19" s="1"/>
  <c r="L13" i="19"/>
  <c r="M13" i="19" s="1"/>
  <c r="L17" i="19"/>
  <c r="M17" i="19" s="1"/>
  <c r="L21" i="19"/>
  <c r="M21" i="19" s="1"/>
  <c r="L23" i="19"/>
  <c r="M23" i="19" s="1"/>
  <c r="L24" i="19"/>
  <c r="M24" i="19" s="1"/>
  <c r="L25" i="19"/>
  <c r="M25" i="19" s="1"/>
  <c r="L27" i="19"/>
  <c r="M27" i="19" s="1"/>
  <c r="L28" i="19"/>
  <c r="M28" i="19" s="1"/>
  <c r="L29" i="19"/>
  <c r="M29" i="19" s="1"/>
  <c r="L30" i="19"/>
  <c r="M30" i="19" s="1"/>
  <c r="L31" i="19"/>
  <c r="M31" i="19" s="1"/>
  <c r="L32" i="19"/>
  <c r="M32" i="19" s="1"/>
  <c r="H5" i="18"/>
  <c r="J34" i="18"/>
  <c r="N34" i="18"/>
  <c r="H2" i="18"/>
  <c r="L13" i="18"/>
  <c r="M13" i="18" s="1"/>
  <c r="L11" i="18"/>
  <c r="M11" i="18" s="1"/>
  <c r="L16" i="18"/>
  <c r="M16" i="18" s="1"/>
  <c r="L21" i="18"/>
  <c r="M21" i="18" s="1"/>
  <c r="L26" i="18"/>
  <c r="M26" i="18" s="1"/>
  <c r="L31" i="18"/>
  <c r="M31" i="18" s="1"/>
  <c r="L9" i="18"/>
  <c r="M9" i="18" s="1"/>
  <c r="H9" i="18"/>
  <c r="H14" i="18"/>
  <c r="H19" i="18"/>
  <c r="H24" i="18"/>
  <c r="H29" i="18"/>
  <c r="L29" i="18"/>
  <c r="M29" i="18" s="1"/>
  <c r="L12" i="18"/>
  <c r="M12" i="18" s="1"/>
  <c r="L17" i="18"/>
  <c r="M17" i="18" s="1"/>
  <c r="L22" i="18"/>
  <c r="M22" i="18" s="1"/>
  <c r="L27" i="18"/>
  <c r="M27" i="18" s="1"/>
  <c r="L32" i="18"/>
  <c r="M32" i="18" s="1"/>
  <c r="L14" i="18"/>
  <c r="M14" i="18" s="1"/>
  <c r="L19" i="18"/>
  <c r="M19" i="18" s="1"/>
  <c r="L24" i="18"/>
  <c r="M24" i="18" s="1"/>
  <c r="H10" i="18"/>
  <c r="H15" i="18"/>
  <c r="H20" i="18"/>
  <c r="H25" i="18"/>
  <c r="H30" i="18"/>
  <c r="L15" i="18"/>
  <c r="M15" i="18" s="1"/>
  <c r="L20" i="18"/>
  <c r="M20" i="18" s="1"/>
  <c r="L10" i="18"/>
  <c r="M10" i="18" s="1"/>
  <c r="L25" i="18"/>
  <c r="M25" i="18" s="1"/>
  <c r="L30" i="18"/>
  <c r="M30" i="18" s="1"/>
  <c r="H8" i="18"/>
  <c r="H13" i="18"/>
  <c r="H18" i="18"/>
  <c r="H23" i="18"/>
  <c r="H28" i="18"/>
  <c r="L8" i="18"/>
  <c r="M8" i="18" s="1"/>
  <c r="N34" i="16"/>
  <c r="J3" i="16"/>
  <c r="K3" i="16" s="1"/>
  <c r="J4" i="16"/>
  <c r="K4" i="16" s="1"/>
  <c r="J5" i="16"/>
  <c r="K5" i="16" s="1"/>
  <c r="J6" i="16"/>
  <c r="K6" i="16" s="1"/>
  <c r="J7" i="16"/>
  <c r="K7" i="16" s="1"/>
  <c r="J8" i="16"/>
  <c r="K8" i="16" s="1"/>
  <c r="J9" i="16"/>
  <c r="K9" i="16" s="1"/>
  <c r="J10" i="16"/>
  <c r="K10" i="16" s="1"/>
  <c r="J11" i="16"/>
  <c r="K11" i="16" s="1"/>
  <c r="J12" i="16"/>
  <c r="K12" i="16" s="1"/>
  <c r="J13" i="16"/>
  <c r="K13" i="16" s="1"/>
  <c r="J14" i="16"/>
  <c r="K14" i="16" s="1"/>
  <c r="J15" i="16"/>
  <c r="K15" i="16" s="1"/>
  <c r="J16" i="16"/>
  <c r="K16" i="16" s="1"/>
  <c r="J17" i="16"/>
  <c r="K17" i="16" s="1"/>
  <c r="J18" i="16"/>
  <c r="K18" i="16" s="1"/>
  <c r="J19" i="16"/>
  <c r="K19" i="16" s="1"/>
  <c r="J20" i="16"/>
  <c r="K20" i="16" s="1"/>
  <c r="J21" i="16"/>
  <c r="K21" i="16" s="1"/>
  <c r="J22" i="16"/>
  <c r="K22" i="16" s="1"/>
  <c r="J23" i="16"/>
  <c r="K23" i="16" s="1"/>
  <c r="J24" i="16"/>
  <c r="K24" i="16" s="1"/>
  <c r="J25" i="16"/>
  <c r="K25" i="16" s="1"/>
  <c r="J26" i="16"/>
  <c r="K26" i="16" s="1"/>
  <c r="J27" i="16"/>
  <c r="K27" i="16" s="1"/>
  <c r="J28" i="16"/>
  <c r="K28" i="16" s="1"/>
  <c r="J29" i="16"/>
  <c r="K29" i="16" s="1"/>
  <c r="J30" i="16"/>
  <c r="K30" i="16" s="1"/>
  <c r="J31" i="16"/>
  <c r="K31" i="16" s="1"/>
  <c r="J32" i="16"/>
  <c r="K32" i="16" s="1"/>
  <c r="J2" i="16"/>
  <c r="K2" i="16" s="1"/>
  <c r="G34" i="32" l="1"/>
  <c r="G37" i="32" s="1"/>
  <c r="G34" i="33"/>
  <c r="G37" i="33" s="1"/>
  <c r="H34" i="33"/>
  <c r="K34" i="33"/>
  <c r="H34" i="32"/>
  <c r="L22" i="33"/>
  <c r="L34" i="33" s="1"/>
  <c r="L36" i="33" s="1"/>
  <c r="K34" i="32"/>
  <c r="L2" i="32"/>
  <c r="G34" i="18"/>
  <c r="G37" i="18" s="1"/>
  <c r="G34" i="31"/>
  <c r="G37" i="31" s="1"/>
  <c r="G34" i="28"/>
  <c r="G37" i="28" s="1"/>
  <c r="G34" i="21"/>
  <c r="G37" i="21" s="1"/>
  <c r="G34" i="19"/>
  <c r="G37" i="19" s="1"/>
  <c r="G34" i="20"/>
  <c r="G37" i="20" s="1"/>
  <c r="G34" i="22"/>
  <c r="G37" i="22" s="1"/>
  <c r="H34" i="31"/>
  <c r="H34" i="18"/>
  <c r="H34" i="19"/>
  <c r="H34" i="28"/>
  <c r="H34" i="20"/>
  <c r="K34" i="20"/>
  <c r="H34" i="22"/>
  <c r="H34" i="21"/>
  <c r="L34" i="31"/>
  <c r="L36" i="31" s="1"/>
  <c r="M2" i="31"/>
  <c r="K34" i="31"/>
  <c r="M6" i="28"/>
  <c r="K34" i="28"/>
  <c r="M2" i="28"/>
  <c r="L34" i="28"/>
  <c r="L36" i="28" s="1"/>
  <c r="M6" i="22"/>
  <c r="L34" i="22"/>
  <c r="L36" i="22" s="1"/>
  <c r="K34" i="22"/>
  <c r="K34" i="21"/>
  <c r="L34" i="21"/>
  <c r="L36" i="21" s="1"/>
  <c r="M2" i="21"/>
  <c r="L34" i="20"/>
  <c r="L36" i="20" s="1"/>
  <c r="M2" i="20"/>
  <c r="M6" i="19"/>
  <c r="M2" i="19"/>
  <c r="L34" i="19"/>
  <c r="L36" i="19" s="1"/>
  <c r="K34" i="19"/>
  <c r="M4" i="18"/>
  <c r="L2" i="18"/>
  <c r="K34" i="18"/>
  <c r="L30" i="16"/>
  <c r="M30" i="16" s="1"/>
  <c r="L8" i="16"/>
  <c r="M8" i="16" s="1"/>
  <c r="L32" i="16"/>
  <c r="M32" i="16" s="1"/>
  <c r="L27" i="16"/>
  <c r="M27" i="16" s="1"/>
  <c r="H6" i="16"/>
  <c r="L6" i="16"/>
  <c r="M6" i="16" s="1"/>
  <c r="H12" i="16"/>
  <c r="L12" i="16"/>
  <c r="M12" i="16" s="1"/>
  <c r="H18" i="16"/>
  <c r="L18" i="16"/>
  <c r="M18" i="16" s="1"/>
  <c r="H24" i="16"/>
  <c r="L24" i="16"/>
  <c r="M24" i="16" s="1"/>
  <c r="H30" i="16"/>
  <c r="L3" i="16"/>
  <c r="M3" i="16" s="1"/>
  <c r="H3" i="16"/>
  <c r="H9" i="16"/>
  <c r="L9" i="16"/>
  <c r="M9" i="16" s="1"/>
  <c r="H15" i="16"/>
  <c r="L15" i="16"/>
  <c r="M15" i="16" s="1"/>
  <c r="H21" i="16"/>
  <c r="L21" i="16"/>
  <c r="M21" i="16" s="1"/>
  <c r="H28" i="16"/>
  <c r="L28" i="16"/>
  <c r="M28" i="16" s="1"/>
  <c r="H4" i="16"/>
  <c r="L4" i="16"/>
  <c r="H10" i="16"/>
  <c r="L10" i="16"/>
  <c r="M10" i="16" s="1"/>
  <c r="H16" i="16"/>
  <c r="L16" i="16"/>
  <c r="M16" i="16" s="1"/>
  <c r="H22" i="16"/>
  <c r="L22" i="16"/>
  <c r="M22" i="16" s="1"/>
  <c r="H14" i="16"/>
  <c r="L14" i="16"/>
  <c r="M14" i="16" s="1"/>
  <c r="H20" i="16"/>
  <c r="L20" i="16"/>
  <c r="M20" i="16" s="1"/>
  <c r="H26" i="16"/>
  <c r="L26" i="16"/>
  <c r="M26" i="16" s="1"/>
  <c r="M22" i="33" l="1"/>
  <c r="M34" i="33" s="1"/>
  <c r="M2" i="32"/>
  <c r="M34" i="32" s="1"/>
  <c r="L34" i="32"/>
  <c r="L36" i="32" s="1"/>
  <c r="M34" i="22"/>
  <c r="M34" i="31"/>
  <c r="M34" i="28"/>
  <c r="M34" i="21"/>
  <c r="M34" i="20"/>
  <c r="M34" i="19"/>
  <c r="L34" i="18"/>
  <c r="L36" i="18" s="1"/>
  <c r="M2" i="18"/>
  <c r="M4" i="16"/>
  <c r="H32" i="16"/>
  <c r="H27" i="16"/>
  <c r="H8" i="16"/>
  <c r="H2" i="16"/>
  <c r="H31" i="16"/>
  <c r="L31" i="16"/>
  <c r="M31" i="16" s="1"/>
  <c r="H13" i="16"/>
  <c r="L13" i="16"/>
  <c r="M13" i="16" s="1"/>
  <c r="L2" i="16"/>
  <c r="H29" i="16"/>
  <c r="L29" i="16"/>
  <c r="M29" i="16" s="1"/>
  <c r="H11" i="16"/>
  <c r="L11" i="16"/>
  <c r="M11" i="16" s="1"/>
  <c r="H19" i="16"/>
  <c r="L19" i="16"/>
  <c r="M19" i="16" s="1"/>
  <c r="J34" i="16"/>
  <c r="H17" i="16"/>
  <c r="L17" i="16"/>
  <c r="M17" i="16" s="1"/>
  <c r="H25" i="16"/>
  <c r="L25" i="16"/>
  <c r="M25" i="16" s="1"/>
  <c r="L7" i="16"/>
  <c r="M7" i="16" s="1"/>
  <c r="H7" i="16"/>
  <c r="H23" i="16"/>
  <c r="L23" i="16"/>
  <c r="M23" i="16" s="1"/>
  <c r="H5" i="16"/>
  <c r="M34" i="18" l="1"/>
  <c r="M2" i="16"/>
  <c r="K34" i="16"/>
  <c r="H34" i="16"/>
  <c r="L5" i="16"/>
  <c r="M5" i="16" l="1"/>
  <c r="M34" i="16" s="1"/>
  <c r="L34" i="16"/>
</calcChain>
</file>

<file path=xl/sharedStrings.xml><?xml version="1.0" encoding="utf-8"?>
<sst xmlns="http://schemas.openxmlformats.org/spreadsheetml/2006/main" count="289" uniqueCount="28">
  <si>
    <t>曜日</t>
    <rPh sb="0" eb="2">
      <t>ヨウビ</t>
    </rPh>
    <phoneticPr fontId="1"/>
  </si>
  <si>
    <t>出勤</t>
    <rPh sb="0" eb="2">
      <t>シュッキン</t>
    </rPh>
    <phoneticPr fontId="1"/>
  </si>
  <si>
    <t>休憩開始</t>
    <rPh sb="0" eb="2">
      <t>キュウケイ</t>
    </rPh>
    <rPh sb="2" eb="4">
      <t>カイシ</t>
    </rPh>
    <phoneticPr fontId="1"/>
  </si>
  <si>
    <t>休憩終了</t>
    <rPh sb="0" eb="2">
      <t>キュウケイ</t>
    </rPh>
    <rPh sb="2" eb="4">
      <t>シュウリョウ</t>
    </rPh>
    <phoneticPr fontId="1"/>
  </si>
  <si>
    <t>退勤</t>
    <rPh sb="0" eb="2">
      <t>タイキン</t>
    </rPh>
    <phoneticPr fontId="1"/>
  </si>
  <si>
    <t>賄い</t>
    <rPh sb="0" eb="1">
      <t>マカナ</t>
    </rPh>
    <phoneticPr fontId="1"/>
  </si>
  <si>
    <t>日数</t>
    <rPh sb="0" eb="2">
      <t>ニッスウ</t>
    </rPh>
    <phoneticPr fontId="1"/>
  </si>
  <si>
    <t>勤務時間</t>
    <rPh sb="0" eb="4">
      <t>キンムジカン</t>
    </rPh>
    <phoneticPr fontId="1"/>
  </si>
  <si>
    <t>休憩</t>
    <rPh sb="0" eb="2">
      <t>キュウケイ</t>
    </rPh>
    <phoneticPr fontId="1"/>
  </si>
  <si>
    <t>計算時間</t>
    <rPh sb="0" eb="2">
      <t>ケイサン</t>
    </rPh>
    <rPh sb="2" eb="4">
      <t>ジカン</t>
    </rPh>
    <phoneticPr fontId="1"/>
  </si>
  <si>
    <t>超過時間</t>
    <rPh sb="0" eb="2">
      <t>チョウカ</t>
    </rPh>
    <rPh sb="2" eb="4">
      <t>ジカン</t>
    </rPh>
    <phoneticPr fontId="1"/>
  </si>
  <si>
    <t>深夜時間</t>
    <rPh sb="0" eb="2">
      <t>シニャ</t>
    </rPh>
    <rPh sb="2" eb="4">
      <t>ジカン</t>
    </rPh>
    <phoneticPr fontId="1"/>
  </si>
  <si>
    <t>備考</t>
    <rPh sb="0" eb="2">
      <t>ビコウ</t>
    </rPh>
    <phoneticPr fontId="1"/>
  </si>
  <si>
    <t>祝</t>
    <rPh sb="0" eb="1">
      <t>シュク</t>
    </rPh>
    <phoneticPr fontId="1"/>
  </si>
  <si>
    <t>回数</t>
    <rPh sb="0" eb="2">
      <t>カイスウ</t>
    </rPh>
    <phoneticPr fontId="1"/>
  </si>
  <si>
    <t>時間</t>
    <rPh sb="0" eb="2">
      <t>ジカン</t>
    </rPh>
    <phoneticPr fontId="1"/>
  </si>
  <si>
    <t>8時間超</t>
    <rPh sb="1" eb="3">
      <t>ジカン</t>
    </rPh>
    <rPh sb="3" eb="4">
      <t>コ</t>
    </rPh>
    <phoneticPr fontId="1"/>
  </si>
  <si>
    <t>有休消化</t>
    <rPh sb="0" eb="4">
      <t>ユウキュウショウカ</t>
    </rPh>
    <phoneticPr fontId="1"/>
  </si>
  <si>
    <t>残有休日数</t>
    <rPh sb="0" eb="1">
      <t>ザン</t>
    </rPh>
    <rPh sb="1" eb="3">
      <t>ユウキュウ</t>
    </rPh>
    <rPh sb="3" eb="5">
      <t>ニッスウ</t>
    </rPh>
    <phoneticPr fontId="1"/>
  </si>
  <si>
    <t>/週</t>
    <rPh sb="1" eb="2">
      <t>シュウ</t>
    </rPh>
    <phoneticPr fontId="1"/>
  </si>
  <si>
    <t>判定</t>
    <rPh sb="0" eb="2">
      <t>ハンテイ</t>
    </rPh>
    <phoneticPr fontId="1"/>
  </si>
  <si>
    <t>雇用保険：週20時間以上＋31日以上見込み ⇒ 加入</t>
    <phoneticPr fontId="1"/>
  </si>
  <si>
    <t>社会保険（健康保険・厚生年金）：
3/4ルール（週30時間以上 or 週5日以上）に該当 ⇒ 加入</t>
    <phoneticPr fontId="1"/>
  </si>
  <si>
    <t>オンライン業務</t>
    <rPh sb="5" eb="7">
      <t>ギョウム</t>
    </rPh>
    <phoneticPr fontId="1"/>
  </si>
  <si>
    <t>有給休暇：週30時間以上なら → 正社員と同じ表（初回10日）</t>
    <rPh sb="0" eb="4">
      <t>ユウキュウキュウカ</t>
    </rPh>
    <rPh sb="5" eb="6">
      <t>シュウ</t>
    </rPh>
    <phoneticPr fontId="1"/>
  </si>
  <si>
    <t>合計</t>
    <rPh sb="0" eb="2">
      <t>ゴウケイ</t>
    </rPh>
    <phoneticPr fontId="1"/>
  </si>
  <si>
    <t>2/21交通費700円</t>
    <rPh sb="4" eb="7">
      <t>コウツウヒ</t>
    </rPh>
    <rPh sb="10" eb="11">
      <t>エン</t>
    </rPh>
    <phoneticPr fontId="1"/>
  </si>
  <si>
    <t>次回発生</t>
    <rPh sb="0" eb="2">
      <t>ジカイ</t>
    </rPh>
    <rPh sb="2" eb="4">
      <t>ハッセイ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</si>
</sst>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:mm;@"/>
    <numFmt numFmtId="177" formatCode="[h]:mm"/>
    <numFmt numFmtId="178" formatCode="0_);[Red]\(0\)"/>
    <numFmt numFmtId="179" formatCode="#,##0_ 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indexed="8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3"/>
      <charset val="128"/>
      <scheme val="minor"/>
    </font>
    <font>
      <b/>
      <sz val="10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8" fontId="2" fillId="0" borderId="1" xfId="0" applyNumberFormat="1" applyFont="1" applyBorder="1"/>
    <xf numFmtId="0" fontId="0" fillId="2" borderId="0" xfId="0" applyFill="1" applyAlignment="1">
      <alignment horizontal="center"/>
    </xf>
    <xf numFmtId="176" fontId="0" fillId="2" borderId="0" xfId="0" applyNumberFormat="1" applyFill="1"/>
    <xf numFmtId="20" fontId="0" fillId="2" borderId="0" xfId="0" applyNumberFormat="1" applyFill="1"/>
    <xf numFmtId="177" fontId="2" fillId="0" borderId="1" xfId="0" applyNumberFormat="1" applyFont="1" applyBorder="1"/>
    <xf numFmtId="179" fontId="2" fillId="0" borderId="1" xfId="0" applyNumberFormat="1" applyFont="1" applyBorder="1"/>
    <xf numFmtId="178" fontId="2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4" fontId="0" fillId="0" borderId="0" xfId="0" applyNumberFormat="1"/>
    <xf numFmtId="178" fontId="4" fillId="0" borderId="0" xfId="0" applyNumberFormat="1" applyFont="1"/>
    <xf numFmtId="178" fontId="5" fillId="0" borderId="0" xfId="0" applyNumberFormat="1" applyFont="1"/>
    <xf numFmtId="177" fontId="4" fillId="0" borderId="2" xfId="0" applyNumberFormat="1" applyFont="1" applyBorder="1"/>
    <xf numFmtId="177" fontId="5" fillId="0" borderId="2" xfId="0" applyNumberFormat="1" applyFont="1" applyBorder="1"/>
    <xf numFmtId="178" fontId="0" fillId="3" borderId="0" xfId="0" applyNumberFormat="1" applyFill="1"/>
    <xf numFmtId="0" fontId="3" fillId="0" borderId="0" xfId="0" applyFont="1"/>
    <xf numFmtId="178" fontId="6" fillId="3" borderId="0" xfId="0" applyNumberFormat="1" applyFont="1" applyFill="1"/>
    <xf numFmtId="0" fontId="6" fillId="0" borderId="0" xfId="0" applyFont="1"/>
    <xf numFmtId="0" fontId="0" fillId="0" borderId="3" xfId="0" applyBorder="1"/>
    <xf numFmtId="0" fontId="7" fillId="0" borderId="3" xfId="0" applyFont="1" applyBorder="1"/>
    <xf numFmtId="0" fontId="8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66"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820A-166A-41EF-AA80-14B6CA685C95}">
  <sheetPr>
    <tabColor rgb="FFFF0000"/>
  </sheetPr>
  <dimension ref="A1:P37"/>
  <sheetViews>
    <sheetView topLeftCell="A12" zoomScaleNormal="100" workbookViewId="0">
      <selection activeCell="A33" sqref="A33:E34"/>
    </sheetView>
  </sheetViews>
  <sheetFormatPr defaultRowHeight="18"/>
  <cols>
    <col min="1" max="1" width="10.19921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6.3984375" customWidth="1"/>
    <col min="8" max="8" width="5.19921875" style="3" bestFit="1" customWidth="1"/>
    <col min="9" max="9" width="3.09765625" style="3" customWidth="1"/>
    <col min="11" max="11" width="7.09765625" style="7" bestFit="1" customWidth="1"/>
    <col min="12" max="12" width="10" bestFit="1" customWidth="1"/>
    <col min="13" max="13" width="9.09765625" style="1" bestFit="1" customWidth="1"/>
    <col min="14" max="14" width="9.09765625" bestFit="1" customWidth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45870</v>
      </c>
      <c r="B2" t="str">
        <f>TEXT(A2, "aaa")</f>
        <v>金</v>
      </c>
      <c r="C2" s="11"/>
      <c r="D2" s="11"/>
      <c r="E2" s="11"/>
      <c r="F2" s="11"/>
      <c r="G2" s="17"/>
      <c r="H2" s="3">
        <f t="shared" ref="H2:H32" si="0">IF(J2&gt;0,1,0)</f>
        <v>0</v>
      </c>
      <c r="J2" s="1">
        <f t="shared" ref="J2:J32" si="1">F2-C2-(E2-D2)</f>
        <v>0</v>
      </c>
      <c r="K2" s="8">
        <f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45871</v>
      </c>
      <c r="B3" t="str">
        <f t="shared" ref="B3:B32" si="2">TEXT(A3, "aaa")</f>
        <v>土</v>
      </c>
      <c r="C3" s="11"/>
      <c r="D3" s="11"/>
      <c r="E3" s="11"/>
      <c r="F3" s="11"/>
      <c r="G3" s="17"/>
      <c r="H3" s="3">
        <f t="shared" si="0"/>
        <v>0</v>
      </c>
      <c r="J3" s="1">
        <f t="shared" si="1"/>
        <v>0</v>
      </c>
      <c r="K3" s="8">
        <f t="shared" ref="K3:K32" si="3">IF(J3&gt;TIME(5,59,0),TIME(0,45,0),0)</f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45872</v>
      </c>
      <c r="B4" t="str">
        <f t="shared" si="2"/>
        <v>日</v>
      </c>
      <c r="C4" s="11"/>
      <c r="D4" s="11"/>
      <c r="E4" s="11"/>
      <c r="F4" s="11"/>
      <c r="G4" s="17">
        <v>1</v>
      </c>
      <c r="H4" s="3">
        <f t="shared" si="0"/>
        <v>0</v>
      </c>
      <c r="J4" s="1">
        <f t="shared" si="1"/>
        <v>0</v>
      </c>
      <c r="K4" s="8">
        <f t="shared" si="3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45873</v>
      </c>
      <c r="B5" t="str">
        <f t="shared" si="2"/>
        <v>月</v>
      </c>
      <c r="C5" s="12"/>
      <c r="D5" s="11"/>
      <c r="E5" s="11"/>
      <c r="F5" s="11"/>
      <c r="G5" s="17">
        <v>1</v>
      </c>
      <c r="H5" s="3">
        <f t="shared" si="0"/>
        <v>0</v>
      </c>
      <c r="J5" s="1">
        <f t="shared" si="1"/>
        <v>0</v>
      </c>
      <c r="K5" s="8">
        <f t="shared" si="3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45874</v>
      </c>
      <c r="B6" t="s">
        <v>13</v>
      </c>
      <c r="C6" s="11"/>
      <c r="D6" s="11"/>
      <c r="E6" s="11"/>
      <c r="F6" s="11"/>
      <c r="G6" s="17">
        <v>1</v>
      </c>
      <c r="H6" s="3">
        <f t="shared" si="0"/>
        <v>0</v>
      </c>
      <c r="J6" s="1">
        <f t="shared" si="1"/>
        <v>0</v>
      </c>
      <c r="K6" s="8">
        <f t="shared" si="3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45875</v>
      </c>
      <c r="B7" t="s">
        <v>13</v>
      </c>
      <c r="C7" s="11"/>
      <c r="D7" s="11"/>
      <c r="E7" s="11"/>
      <c r="F7" s="11"/>
      <c r="G7" s="17">
        <v>1</v>
      </c>
      <c r="H7" s="3">
        <f t="shared" si="0"/>
        <v>0</v>
      </c>
      <c r="J7" s="1">
        <f t="shared" si="1"/>
        <v>0</v>
      </c>
      <c r="K7" s="8">
        <f t="shared" si="3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45876</v>
      </c>
      <c r="B8" t="str">
        <f t="shared" si="2"/>
        <v>木</v>
      </c>
      <c r="C8" s="11"/>
      <c r="D8" s="11"/>
      <c r="E8" s="11"/>
      <c r="F8" s="11"/>
      <c r="G8" s="17">
        <v>1</v>
      </c>
      <c r="H8" s="3">
        <f t="shared" si="0"/>
        <v>0</v>
      </c>
      <c r="J8" s="1">
        <f t="shared" si="1"/>
        <v>0</v>
      </c>
      <c r="K8" s="8">
        <f t="shared" si="3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45877</v>
      </c>
      <c r="B9" t="str">
        <f t="shared" si="2"/>
        <v>金</v>
      </c>
      <c r="C9" s="11"/>
      <c r="D9" s="11"/>
      <c r="E9" s="11"/>
      <c r="F9" s="11"/>
      <c r="G9" s="17"/>
      <c r="H9" s="3">
        <f t="shared" si="0"/>
        <v>0</v>
      </c>
      <c r="J9" s="1">
        <f t="shared" si="1"/>
        <v>0</v>
      </c>
      <c r="K9" s="8">
        <f t="shared" si="3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45878</v>
      </c>
      <c r="B10" t="str">
        <f t="shared" si="2"/>
        <v>土</v>
      </c>
      <c r="C10" s="11"/>
      <c r="D10" s="11"/>
      <c r="E10" s="11"/>
      <c r="F10" s="11"/>
      <c r="G10" s="17"/>
      <c r="H10" s="3">
        <f t="shared" si="0"/>
        <v>0</v>
      </c>
      <c r="J10" s="1">
        <f t="shared" si="1"/>
        <v>0</v>
      </c>
      <c r="K10" s="8">
        <f t="shared" si="3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45879</v>
      </c>
      <c r="B11" t="str">
        <f t="shared" si="2"/>
        <v>日</v>
      </c>
      <c r="C11" s="11"/>
      <c r="D11" s="11"/>
      <c r="E11" s="11"/>
      <c r="F11" s="11"/>
      <c r="G11" s="17"/>
      <c r="H11" s="3">
        <f t="shared" si="0"/>
        <v>0</v>
      </c>
      <c r="J11" s="1">
        <f t="shared" si="1"/>
        <v>0</v>
      </c>
      <c r="K11" s="8">
        <f t="shared" si="3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45880</v>
      </c>
      <c r="B12" t="str">
        <f t="shared" si="2"/>
        <v>月</v>
      </c>
      <c r="C12" s="11"/>
      <c r="D12" s="11"/>
      <c r="E12" s="11"/>
      <c r="F12" s="11"/>
      <c r="G12" s="17"/>
      <c r="H12" s="3">
        <f t="shared" si="0"/>
        <v>0</v>
      </c>
      <c r="J12" s="1">
        <f t="shared" si="1"/>
        <v>0</v>
      </c>
      <c r="K12" s="8">
        <f t="shared" si="3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45881</v>
      </c>
      <c r="B13" t="str">
        <f t="shared" si="2"/>
        <v>火</v>
      </c>
      <c r="C13" s="11"/>
      <c r="D13" s="11"/>
      <c r="E13" s="11"/>
      <c r="F13" s="11"/>
      <c r="G13" s="17"/>
      <c r="H13" s="3">
        <f t="shared" si="0"/>
        <v>0</v>
      </c>
      <c r="J13" s="1">
        <f t="shared" si="1"/>
        <v>0</v>
      </c>
      <c r="K13" s="8">
        <f t="shared" si="3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45882</v>
      </c>
      <c r="B14" t="str">
        <f t="shared" si="2"/>
        <v>水</v>
      </c>
      <c r="C14" s="11"/>
      <c r="D14" s="11"/>
      <c r="E14" s="11"/>
      <c r="F14" s="11"/>
      <c r="G14" s="17"/>
      <c r="H14" s="3">
        <f t="shared" si="0"/>
        <v>0</v>
      </c>
      <c r="J14" s="1">
        <f t="shared" si="1"/>
        <v>0</v>
      </c>
      <c r="K14" s="8">
        <f t="shared" si="3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45883</v>
      </c>
      <c r="B15" t="str">
        <f t="shared" si="2"/>
        <v>木</v>
      </c>
      <c r="C15" s="11"/>
      <c r="D15" s="11"/>
      <c r="E15" s="11"/>
      <c r="F15" s="11"/>
      <c r="G15" s="17"/>
      <c r="H15" s="3">
        <f t="shared" si="0"/>
        <v>0</v>
      </c>
      <c r="J15" s="1">
        <f t="shared" si="1"/>
        <v>0</v>
      </c>
      <c r="K15" s="8">
        <f t="shared" si="3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45884</v>
      </c>
      <c r="B16" t="str">
        <f t="shared" si="2"/>
        <v>金</v>
      </c>
      <c r="C16" s="11"/>
      <c r="D16" s="11"/>
      <c r="E16" s="11"/>
      <c r="F16" s="11"/>
      <c r="G16" s="17"/>
      <c r="H16" s="3">
        <f t="shared" si="0"/>
        <v>0</v>
      </c>
      <c r="J16" s="1">
        <f t="shared" si="1"/>
        <v>0</v>
      </c>
      <c r="K16" s="8">
        <f t="shared" si="3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45885</v>
      </c>
      <c r="B17" t="str">
        <f t="shared" si="2"/>
        <v>土</v>
      </c>
      <c r="C17" s="11"/>
      <c r="D17" s="11"/>
      <c r="E17" s="11"/>
      <c r="F17" s="11"/>
      <c r="G17" s="17"/>
      <c r="H17" s="3">
        <f t="shared" si="0"/>
        <v>0</v>
      </c>
      <c r="J17" s="1">
        <f t="shared" si="1"/>
        <v>0</v>
      </c>
      <c r="K17" s="8">
        <f t="shared" si="3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45886</v>
      </c>
      <c r="B18" t="str">
        <f t="shared" si="2"/>
        <v>日</v>
      </c>
      <c r="C18" s="11"/>
      <c r="D18" s="11"/>
      <c r="E18" s="11"/>
      <c r="F18" s="11"/>
      <c r="G18" s="17"/>
      <c r="H18" s="3">
        <f t="shared" si="0"/>
        <v>0</v>
      </c>
      <c r="J18" s="1">
        <f t="shared" si="1"/>
        <v>0</v>
      </c>
      <c r="K18" s="8">
        <f t="shared" si="3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45887</v>
      </c>
      <c r="B19" t="str">
        <f t="shared" si="2"/>
        <v>月</v>
      </c>
      <c r="C19" s="11"/>
      <c r="D19" s="11"/>
      <c r="E19" s="11"/>
      <c r="F19" s="11"/>
      <c r="G19" s="17"/>
      <c r="H19" s="3">
        <f t="shared" si="0"/>
        <v>0</v>
      </c>
      <c r="J19" s="1">
        <f t="shared" si="1"/>
        <v>0</v>
      </c>
      <c r="K19" s="8">
        <f t="shared" si="3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45888</v>
      </c>
      <c r="B20" t="str">
        <f t="shared" si="2"/>
        <v>火</v>
      </c>
      <c r="C20" s="11"/>
      <c r="D20" s="11"/>
      <c r="E20" s="11"/>
      <c r="F20" s="11"/>
      <c r="G20" s="17"/>
      <c r="H20" s="3">
        <f t="shared" si="0"/>
        <v>0</v>
      </c>
      <c r="J20" s="1">
        <f t="shared" si="1"/>
        <v>0</v>
      </c>
      <c r="K20" s="8">
        <f t="shared" si="3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45889</v>
      </c>
      <c r="B21" t="str">
        <f t="shared" si="2"/>
        <v>水</v>
      </c>
      <c r="C21" s="11"/>
      <c r="D21" s="11"/>
      <c r="E21" s="11"/>
      <c r="F21" s="11"/>
      <c r="G21" s="17"/>
      <c r="H21" s="3">
        <f t="shared" si="0"/>
        <v>0</v>
      </c>
      <c r="J21" s="1">
        <f t="shared" si="1"/>
        <v>0</v>
      </c>
      <c r="K21" s="8">
        <f t="shared" si="3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45890</v>
      </c>
      <c r="B22" t="str">
        <f t="shared" si="2"/>
        <v>木</v>
      </c>
      <c r="C22" s="11"/>
      <c r="D22" s="11"/>
      <c r="E22" s="11"/>
      <c r="F22" s="11"/>
      <c r="G22" s="17"/>
      <c r="H22" s="3">
        <f t="shared" si="0"/>
        <v>0</v>
      </c>
      <c r="J22" s="1">
        <f t="shared" si="1"/>
        <v>0</v>
      </c>
      <c r="K22" s="8">
        <f t="shared" si="3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45891</v>
      </c>
      <c r="B23" t="str">
        <f t="shared" si="2"/>
        <v>金</v>
      </c>
      <c r="C23" s="11"/>
      <c r="D23" s="11"/>
      <c r="E23" s="11"/>
      <c r="F23" s="11"/>
      <c r="G23" s="17"/>
      <c r="H23" s="3">
        <f t="shared" si="0"/>
        <v>0</v>
      </c>
      <c r="J23" s="1">
        <f t="shared" si="1"/>
        <v>0</v>
      </c>
      <c r="K23" s="8">
        <f t="shared" si="3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45892</v>
      </c>
      <c r="B24" t="str">
        <f t="shared" si="2"/>
        <v>土</v>
      </c>
      <c r="C24" s="11"/>
      <c r="D24" s="11"/>
      <c r="E24" s="11"/>
      <c r="F24" s="11"/>
      <c r="G24" s="17"/>
      <c r="H24" s="3">
        <f t="shared" si="0"/>
        <v>0</v>
      </c>
      <c r="J24" s="1">
        <f t="shared" si="1"/>
        <v>0</v>
      </c>
      <c r="K24" s="8">
        <f t="shared" si="3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45893</v>
      </c>
      <c r="B25" t="str">
        <f t="shared" si="2"/>
        <v>日</v>
      </c>
      <c r="C25" s="11"/>
      <c r="D25" s="11"/>
      <c r="E25" s="11"/>
      <c r="F25" s="11"/>
      <c r="G25" s="17"/>
      <c r="H25" s="3">
        <f t="shared" si="0"/>
        <v>0</v>
      </c>
      <c r="J25" s="1">
        <f t="shared" si="1"/>
        <v>0</v>
      </c>
      <c r="K25" s="8">
        <f t="shared" si="3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45894</v>
      </c>
      <c r="B26" t="str">
        <f t="shared" si="2"/>
        <v>月</v>
      </c>
      <c r="C26" s="11"/>
      <c r="D26" s="11"/>
      <c r="E26" s="11"/>
      <c r="F26" s="11"/>
      <c r="G26" s="17"/>
      <c r="H26" s="3">
        <f t="shared" si="0"/>
        <v>0</v>
      </c>
      <c r="J26" s="1">
        <f t="shared" si="1"/>
        <v>0</v>
      </c>
      <c r="K26" s="8">
        <f t="shared" si="3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45895</v>
      </c>
      <c r="B27" t="str">
        <f t="shared" si="2"/>
        <v>火</v>
      </c>
      <c r="C27" s="11"/>
      <c r="D27" s="11"/>
      <c r="E27" s="11"/>
      <c r="F27" s="11"/>
      <c r="G27" s="17"/>
      <c r="H27" s="3">
        <f t="shared" si="0"/>
        <v>0</v>
      </c>
      <c r="J27" s="1">
        <f t="shared" si="1"/>
        <v>0</v>
      </c>
      <c r="K27" s="8">
        <f t="shared" si="3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45896</v>
      </c>
      <c r="B28" t="str">
        <f t="shared" si="2"/>
        <v>水</v>
      </c>
      <c r="C28" s="11"/>
      <c r="D28" s="11"/>
      <c r="E28" s="11"/>
      <c r="F28" s="11"/>
      <c r="G28" s="17"/>
      <c r="H28" s="3">
        <f t="shared" si="0"/>
        <v>0</v>
      </c>
      <c r="J28" s="1">
        <f t="shared" si="1"/>
        <v>0</v>
      </c>
      <c r="K28" s="8">
        <f t="shared" si="3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45897</v>
      </c>
      <c r="B29" t="str">
        <f t="shared" si="2"/>
        <v>木</v>
      </c>
      <c r="C29" s="11"/>
      <c r="D29" s="11"/>
      <c r="E29" s="11"/>
      <c r="F29" s="11"/>
      <c r="G29" s="17"/>
      <c r="H29" s="3">
        <f t="shared" si="0"/>
        <v>0</v>
      </c>
      <c r="J29" s="1">
        <f t="shared" si="1"/>
        <v>0</v>
      </c>
      <c r="K29" s="8">
        <f t="shared" si="3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>
        <v>45898</v>
      </c>
      <c r="B30" t="str">
        <f t="shared" si="2"/>
        <v>金</v>
      </c>
      <c r="C30" s="11"/>
      <c r="D30" s="11"/>
      <c r="E30" s="11"/>
      <c r="F30" s="11"/>
      <c r="G30" s="17"/>
      <c r="H30" s="3">
        <f t="shared" si="0"/>
        <v>0</v>
      </c>
      <c r="J30" s="1">
        <f t="shared" si="1"/>
        <v>0</v>
      </c>
      <c r="K30" s="8">
        <f t="shared" si="3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>
        <v>45899</v>
      </c>
      <c r="B31" t="str">
        <f t="shared" si="2"/>
        <v>土</v>
      </c>
      <c r="C31" s="11"/>
      <c r="D31" s="11"/>
      <c r="E31" s="11"/>
      <c r="F31" s="11"/>
      <c r="G31" s="17"/>
      <c r="H31" s="3">
        <f t="shared" si="0"/>
        <v>0</v>
      </c>
      <c r="J31" s="1">
        <f t="shared" si="1"/>
        <v>0</v>
      </c>
      <c r="K31" s="8">
        <f t="shared" si="3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>
        <v>45900</v>
      </c>
      <c r="B32" t="str">
        <f t="shared" si="2"/>
        <v>日</v>
      </c>
      <c r="C32" s="11"/>
      <c r="D32" s="11"/>
      <c r="E32" s="11"/>
      <c r="F32" s="11"/>
      <c r="G32" s="17"/>
      <c r="H32" s="3">
        <f t="shared" si="0"/>
        <v>0</v>
      </c>
      <c r="J32" s="1">
        <f t="shared" si="1"/>
        <v>0</v>
      </c>
      <c r="K32" s="8">
        <f t="shared" si="3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7" t="s">
        <v>17</v>
      </c>
      <c r="B33" s="27"/>
      <c r="C33" s="30" t="s">
        <v>18</v>
      </c>
      <c r="D33" s="31"/>
      <c r="E33" s="27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C34" s="30" t="s">
        <v>27</v>
      </c>
      <c r="D34" s="31"/>
      <c r="E34" s="28"/>
      <c r="G34" s="19">
        <f>SUM(G2:G32)</f>
        <v>5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1">
        <f>SUM(M2:M32)</f>
        <v>0</v>
      </c>
      <c r="N34" s="21">
        <f>SUM(N2:N32)</f>
        <v>0</v>
      </c>
    </row>
    <row r="36" spans="1:14" ht="18.600000000000001" thickBot="1"/>
    <row r="37" spans="1:14" ht="18.600000000000001" thickBot="1">
      <c r="F37" t="s">
        <v>5</v>
      </c>
      <c r="G37" s="14">
        <f>G34*300</f>
        <v>1500</v>
      </c>
    </row>
  </sheetData>
  <autoFilter ref="A1:N34" xr:uid="{2463820A-166A-41EF-AA80-14B6CA685C95}"/>
  <mergeCells count="2">
    <mergeCell ref="C33:D33"/>
    <mergeCell ref="C34:D34"/>
  </mergeCells>
  <phoneticPr fontId="1"/>
  <conditionalFormatting sqref="A2:B32">
    <cfRule type="expression" dxfId="65" priority="1">
      <formula>$B2="祝"</formula>
    </cfRule>
    <cfRule type="expression" dxfId="64" priority="2">
      <formula>$B2="土"</formula>
    </cfRule>
    <cfRule type="expression" dxfId="63" priority="3">
      <formula>$B2="日"</formula>
    </cfRule>
    <cfRule type="expression" dxfId="62" priority="5">
      <formula>$B2="土"</formula>
    </cfRule>
    <cfRule type="expression" dxfId="61" priority="6">
      <formula>$B2="土"</formula>
    </cfRule>
    <cfRule type="expression" dxfId="60" priority="7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993D-8543-4A0B-B112-36EB679CD527}">
  <dimension ref="A1:N39"/>
  <sheetViews>
    <sheetView topLeftCell="A14" zoomScaleNormal="100" workbookViewId="0">
      <selection activeCell="A33" sqref="A33:E34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4" width="9.69921875" customWidth="1"/>
    <col min="5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</cols>
  <sheetData>
    <row r="1" spans="1:14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</row>
    <row r="2" spans="1:14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4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4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4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4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4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4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4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4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4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4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4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4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4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4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7" t="s">
        <v>17</v>
      </c>
      <c r="B33" s="27"/>
      <c r="C33" s="30" t="s">
        <v>18</v>
      </c>
      <c r="D33" s="31"/>
      <c r="E33" s="27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C34" s="30" t="s">
        <v>27</v>
      </c>
      <c r="D34" s="31"/>
      <c r="E34" s="28"/>
      <c r="G34" s="19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5" spans="1:14">
      <c r="G35" s="24"/>
    </row>
    <row r="36" spans="1:14" ht="18.600000000000001" thickBot="1">
      <c r="C36" s="32"/>
      <c r="D36" s="32"/>
      <c r="G36" s="24"/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mergeCells count="3">
    <mergeCell ref="C33:D33"/>
    <mergeCell ref="C34:D34"/>
    <mergeCell ref="C36:D36"/>
  </mergeCells>
  <phoneticPr fontId="1"/>
  <conditionalFormatting sqref="A2:B32">
    <cfRule type="expression" dxfId="59" priority="1">
      <formula>$B2="祝"</formula>
    </cfRule>
    <cfRule type="expression" dxfId="58" priority="2">
      <formula>$B2="土"</formula>
    </cfRule>
    <cfRule type="expression" dxfId="57" priority="3">
      <formula>$B2="日"</formula>
    </cfRule>
    <cfRule type="expression" dxfId="56" priority="4">
      <formula>$B2="土"</formula>
    </cfRule>
    <cfRule type="expression" dxfId="55" priority="5">
      <formula>$B2="土"</formula>
    </cfRule>
    <cfRule type="expression" dxfId="54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B2F4-EC2B-490D-AF71-65803D2B39EB}">
  <sheetPr>
    <tabColor theme="2"/>
  </sheetPr>
  <dimension ref="A1:P39"/>
  <sheetViews>
    <sheetView topLeftCell="A14" zoomScaleNormal="100" workbookViewId="0">
      <selection activeCell="K3" sqref="K2:K3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>IF(L21&gt;=TIME(8,0,0),L21-TIME(8,0,0),0)</f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6:14" ht="18.600000000000001" thickBot="1"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6:14" ht="18.600000000000001" thickBot="1"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6:14" ht="18.600000000000001" thickBot="1">
      <c r="L36" s="2">
        <f>L34*12/52</f>
        <v>0</v>
      </c>
      <c r="M36" s="1" t="s">
        <v>19</v>
      </c>
      <c r="N36" t="s">
        <v>20</v>
      </c>
    </row>
    <row r="37" spans="6:14" ht="18.600000000000001" thickBot="1">
      <c r="F37" t="s">
        <v>5</v>
      </c>
      <c r="G37" s="14">
        <f>G34*300</f>
        <v>0</v>
      </c>
      <c r="N37" t="s">
        <v>21</v>
      </c>
    </row>
    <row r="38" spans="6:14">
      <c r="N38" t="s">
        <v>22</v>
      </c>
    </row>
    <row r="39" spans="6:14">
      <c r="N39" t="s">
        <v>24</v>
      </c>
    </row>
  </sheetData>
  <autoFilter ref="A1:N34" xr:uid="{2463820A-166A-41EF-AA80-14B6CA685C95}"/>
  <phoneticPr fontId="1"/>
  <conditionalFormatting sqref="A2:B32">
    <cfRule type="expression" dxfId="53" priority="1">
      <formula>$B2="祝"</formula>
    </cfRule>
    <cfRule type="expression" dxfId="52" priority="2">
      <formula>$B2="土"</formula>
    </cfRule>
    <cfRule type="expression" dxfId="51" priority="3">
      <formula>$B2="日"</formula>
    </cfRule>
    <cfRule type="expression" dxfId="50" priority="4">
      <formula>$B2="土"</formula>
    </cfRule>
    <cfRule type="expression" dxfId="49" priority="5">
      <formula>$B2="土"</formula>
    </cfRule>
    <cfRule type="expression" dxfId="48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0906-3383-4CE4-9931-59A9A884F884}">
  <sheetPr>
    <tabColor theme="2"/>
  </sheetPr>
  <dimension ref="A1:P39"/>
  <sheetViews>
    <sheetView topLeftCell="A14" zoomScaleNormal="100" workbookViewId="0">
      <selection activeCell="A33" sqref="A33:E34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7" t="s">
        <v>17</v>
      </c>
      <c r="B33" s="27"/>
      <c r="C33" s="30" t="s">
        <v>18</v>
      </c>
      <c r="D33" s="31"/>
      <c r="E33" s="27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C34" s="30" t="s">
        <v>27</v>
      </c>
      <c r="D34" s="31"/>
      <c r="E34" s="28"/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1:14" ht="18.600000000000001" thickBot="1"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mergeCells count="2">
    <mergeCell ref="C33:D33"/>
    <mergeCell ref="C34:D34"/>
  </mergeCells>
  <phoneticPr fontId="1"/>
  <conditionalFormatting sqref="A2:B32">
    <cfRule type="expression" dxfId="47" priority="1">
      <formula>$B2="祝"</formula>
    </cfRule>
    <cfRule type="expression" dxfId="46" priority="2">
      <formula>$B2="土"</formula>
    </cfRule>
    <cfRule type="expression" dxfId="45" priority="3">
      <formula>$B2="日"</formula>
    </cfRule>
    <cfRule type="expression" dxfId="44" priority="4">
      <formula>$B2="土"</formula>
    </cfRule>
    <cfRule type="expression" dxfId="43" priority="5">
      <formula>$B2="土"</formula>
    </cfRule>
    <cfRule type="expression" dxfId="42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2019-C61E-4B3C-BFD0-A209C882E1C4}">
  <sheetPr>
    <tabColor theme="2"/>
  </sheetPr>
  <dimension ref="A1:P39"/>
  <sheetViews>
    <sheetView topLeftCell="A11" zoomScaleNormal="100" workbookViewId="0">
      <selection activeCell="A33" sqref="A33:E34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6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5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ref="K7:K32" si="7">IF(J7&gt;TIME(5,59,0),TIME(0,45,0),0)</f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7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7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7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7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7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7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7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7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7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7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7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7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7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7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7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7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7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7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7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7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7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7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7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7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7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7" t="s">
        <v>17</v>
      </c>
      <c r="B33" s="27"/>
      <c r="C33" s="30" t="s">
        <v>18</v>
      </c>
      <c r="D33" s="31"/>
      <c r="E33" s="27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C34" s="30" t="s">
        <v>27</v>
      </c>
      <c r="D34" s="31"/>
      <c r="E34" s="28"/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1:14" ht="18.600000000000001" thickBot="1"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mergeCells count="2">
    <mergeCell ref="C33:D33"/>
    <mergeCell ref="C34:D34"/>
  </mergeCells>
  <phoneticPr fontId="1"/>
  <conditionalFormatting sqref="A2:B32">
    <cfRule type="expression" dxfId="41" priority="1">
      <formula>$B2="祝"</formula>
    </cfRule>
    <cfRule type="expression" dxfId="40" priority="2">
      <formula>$B2="土"</formula>
    </cfRule>
    <cfRule type="expression" dxfId="39" priority="3">
      <formula>$B2="日"</formula>
    </cfRule>
    <cfRule type="expression" dxfId="38" priority="4">
      <formula>$B2="土"</formula>
    </cfRule>
    <cfRule type="expression" dxfId="37" priority="5">
      <formula>$B2="土"</formula>
    </cfRule>
    <cfRule type="expression" dxfId="36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D283-CAA4-4E00-9EA7-F0BF8AA2238E}">
  <sheetPr>
    <tabColor theme="2"/>
  </sheetPr>
  <dimension ref="A1:P39"/>
  <sheetViews>
    <sheetView topLeftCell="A14" zoomScaleNormal="100" workbookViewId="0">
      <selection activeCell="M17" sqref="M17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8.796875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5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33" t="s">
        <v>23</v>
      </c>
      <c r="B33" s="33"/>
      <c r="C33" s="27">
        <v>1500</v>
      </c>
      <c r="D33" s="27">
        <v>3</v>
      </c>
      <c r="E33" s="27">
        <f>C33*D33</f>
        <v>4500</v>
      </c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A34" s="33"/>
      <c r="B34" s="33"/>
      <c r="C34" s="27">
        <v>1226</v>
      </c>
      <c r="D34" s="27">
        <v>2</v>
      </c>
      <c r="E34" s="27">
        <f t="shared" ref="E34:E35" si="7">C34*D34</f>
        <v>2452</v>
      </c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5" spans="1:14">
      <c r="A35" s="33"/>
      <c r="B35" s="33"/>
      <c r="C35" s="27">
        <v>1000</v>
      </c>
      <c r="D35" s="27">
        <v>3</v>
      </c>
      <c r="E35" s="27">
        <f t="shared" si="7"/>
        <v>3000</v>
      </c>
    </row>
    <row r="36" spans="1:14" ht="18.600000000000001" thickBot="1">
      <c r="A36" s="33"/>
      <c r="B36" s="33"/>
      <c r="C36" s="27"/>
      <c r="D36" s="27"/>
      <c r="E36" s="27"/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A37" s="33"/>
      <c r="B37" s="33"/>
      <c r="C37" s="27"/>
      <c r="D37" s="27"/>
      <c r="E37" s="27"/>
      <c r="F37" t="s">
        <v>5</v>
      </c>
      <c r="G37" s="14">
        <f>G34*300</f>
        <v>0</v>
      </c>
      <c r="N37" t="s">
        <v>21</v>
      </c>
    </row>
    <row r="38" spans="1:14">
      <c r="A38" s="33"/>
      <c r="B38" s="33"/>
      <c r="C38" s="30" t="s">
        <v>25</v>
      </c>
      <c r="D38" s="31"/>
      <c r="E38" s="27">
        <f>SUM(E33:E37)</f>
        <v>9952</v>
      </c>
      <c r="N38" t="s">
        <v>22</v>
      </c>
    </row>
    <row r="39" spans="1:14">
      <c r="N39" t="s">
        <v>24</v>
      </c>
    </row>
  </sheetData>
  <autoFilter ref="A1:N34" xr:uid="{2463820A-166A-41EF-AA80-14B6CA685C95}"/>
  <mergeCells count="2">
    <mergeCell ref="C38:D38"/>
    <mergeCell ref="A33:B38"/>
  </mergeCells>
  <phoneticPr fontId="1"/>
  <conditionalFormatting sqref="A2:B32">
    <cfRule type="expression" dxfId="35" priority="1">
      <formula>$B2="祝"</formula>
    </cfRule>
    <cfRule type="expression" dxfId="34" priority="2">
      <formula>$B2="土"</formula>
    </cfRule>
    <cfRule type="expression" dxfId="33" priority="3">
      <formula>$B2="日"</formula>
    </cfRule>
    <cfRule type="expression" dxfId="32" priority="4">
      <formula>$B2="土"</formula>
    </cfRule>
    <cfRule type="expression" dxfId="31" priority="5">
      <formula>$B2="土"</formula>
    </cfRule>
    <cfRule type="expression" dxfId="30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Header>&amp;A</oddHeader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C11B-F59D-45A4-826A-41D4D69B5F49}">
  <sheetPr>
    <tabColor theme="2"/>
  </sheetPr>
  <dimension ref="A1:P39"/>
  <sheetViews>
    <sheetView topLeftCell="A9" zoomScaleNormal="100" workbookViewId="0">
      <selection activeCell="L10" sqref="L10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5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5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5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5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6:14" ht="18.600000000000001" thickBot="1"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6:14" ht="18.600000000000001" thickBot="1"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6:14" ht="18.600000000000001" thickBot="1">
      <c r="L36" s="2">
        <f>L34*12/52</f>
        <v>0</v>
      </c>
      <c r="M36" s="1" t="s">
        <v>19</v>
      </c>
      <c r="N36" t="s">
        <v>20</v>
      </c>
    </row>
    <row r="37" spans="6:14" ht="18.600000000000001" thickBot="1">
      <c r="F37" t="s">
        <v>5</v>
      </c>
      <c r="G37" s="14">
        <f>G34*300</f>
        <v>0</v>
      </c>
      <c r="N37" t="s">
        <v>21</v>
      </c>
    </row>
    <row r="38" spans="6:14">
      <c r="N38" t="s">
        <v>22</v>
      </c>
    </row>
    <row r="39" spans="6:14">
      <c r="N39" t="s">
        <v>24</v>
      </c>
    </row>
  </sheetData>
  <autoFilter ref="A1:N34" xr:uid="{2463820A-166A-41EF-AA80-14B6CA685C95}"/>
  <phoneticPr fontId="1"/>
  <conditionalFormatting sqref="A2:B32">
    <cfRule type="expression" dxfId="29" priority="1">
      <formula>$B2="祝"</formula>
    </cfRule>
    <cfRule type="expression" dxfId="28" priority="2">
      <formula>$B2="土"</formula>
    </cfRule>
    <cfRule type="expression" dxfId="27" priority="3">
      <formula>$B2="日"</formula>
    </cfRule>
    <cfRule type="expression" dxfId="26" priority="4">
      <formula>$B2="土"</formula>
    </cfRule>
    <cfRule type="expression" dxfId="25" priority="5">
      <formula>$B2="土"</formula>
    </cfRule>
    <cfRule type="expression" dxfId="24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23B-FB81-4F1E-8BC8-494252E1D28C}">
  <sheetPr>
    <tabColor theme="2"/>
  </sheetPr>
  <dimension ref="A1:P39"/>
  <sheetViews>
    <sheetView topLeftCell="A12" zoomScaleNormal="100" workbookViewId="0">
      <selection activeCell="A33" sqref="A33:E34"/>
    </sheetView>
  </sheetViews>
  <sheetFormatPr defaultRowHeight="18"/>
  <cols>
    <col min="1" max="1" width="11.296875" bestFit="1" customWidth="1"/>
    <col min="2" max="2" width="5.19921875" bestFit="1" customWidth="1"/>
    <col min="3" max="3" width="6.8984375" customWidth="1"/>
    <col min="4" max="4" width="13.09765625" customWidth="1"/>
    <col min="5" max="5" width="10.59765625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7" t="s">
        <v>17</v>
      </c>
      <c r="B33" s="27"/>
      <c r="C33" s="30" t="s">
        <v>18</v>
      </c>
      <c r="D33" s="31"/>
      <c r="E33" s="27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C34" s="30" t="s">
        <v>27</v>
      </c>
      <c r="D34" s="31"/>
      <c r="E34" s="28"/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5" spans="1:14">
      <c r="D35" s="26"/>
    </row>
    <row r="36" spans="1:14" ht="18.600000000000001" thickBot="1"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mergeCells count="2">
    <mergeCell ref="C33:D33"/>
    <mergeCell ref="C34:D34"/>
  </mergeCells>
  <phoneticPr fontId="1"/>
  <conditionalFormatting sqref="A2:B32">
    <cfRule type="expression" dxfId="23" priority="1">
      <formula>$B2="祝"</formula>
    </cfRule>
    <cfRule type="expression" dxfId="22" priority="2">
      <formula>$B2="土"</formula>
    </cfRule>
    <cfRule type="expression" dxfId="21" priority="3">
      <formula>$B2="日"</formula>
    </cfRule>
    <cfRule type="expression" dxfId="20" priority="4">
      <formula>$B2="土"</formula>
    </cfRule>
    <cfRule type="expression" dxfId="19" priority="5">
      <formula>$B2="土"</formula>
    </cfRule>
    <cfRule type="expression" dxfId="18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03D2-8435-4D2E-8625-813CBC5A7CAE}">
  <sheetPr>
    <tabColor theme="2"/>
  </sheetPr>
  <dimension ref="A1:P39"/>
  <sheetViews>
    <sheetView topLeftCell="A10" zoomScaleNormal="100" workbookViewId="0">
      <selection activeCell="K17" sqref="K17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9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6:14" ht="18.600000000000001" thickBot="1"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6:14" ht="18.600000000000001" thickBot="1"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6:14" ht="18.600000000000001" thickBot="1">
      <c r="L36" s="2">
        <f>L34*12/52</f>
        <v>0</v>
      </c>
      <c r="M36" s="1" t="s">
        <v>19</v>
      </c>
      <c r="N36" t="s">
        <v>20</v>
      </c>
    </row>
    <row r="37" spans="6:14" ht="18.600000000000001" thickBot="1">
      <c r="F37" t="s">
        <v>5</v>
      </c>
      <c r="G37" s="14">
        <f>G34*300</f>
        <v>0</v>
      </c>
      <c r="N37" t="s">
        <v>21</v>
      </c>
    </row>
    <row r="38" spans="6:14">
      <c r="N38" t="s">
        <v>22</v>
      </c>
    </row>
    <row r="39" spans="6:14">
      <c r="N39" t="s">
        <v>24</v>
      </c>
    </row>
  </sheetData>
  <autoFilter ref="A1:N34" xr:uid="{2463820A-166A-41EF-AA80-14B6CA685C95}"/>
  <phoneticPr fontId="1"/>
  <conditionalFormatting sqref="A2:B32">
    <cfRule type="expression" dxfId="17" priority="1">
      <formula>$B2="祝"</formula>
    </cfRule>
    <cfRule type="expression" dxfId="16" priority="2">
      <formula>$B2="土"</formula>
    </cfRule>
    <cfRule type="expression" dxfId="15" priority="3">
      <formula>$B2="日"</formula>
    </cfRule>
    <cfRule type="expression" dxfId="14" priority="4">
      <formula>$B2="土"</formula>
    </cfRule>
    <cfRule type="expression" dxfId="13" priority="5">
      <formula>$B2="土"</formula>
    </cfRule>
    <cfRule type="expression" dxfId="12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E735-CDAD-44A4-9E81-B7286826571A}">
  <sheetPr>
    <tabColor theme="2"/>
  </sheetPr>
  <dimension ref="A1:P39"/>
  <sheetViews>
    <sheetView zoomScaleNormal="100" workbookViewId="0">
      <selection activeCell="L28" sqref="L28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8.796875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4"/>
      <c r="C33" t="s">
        <v>26</v>
      </c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A34" s="29"/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1:14" ht="18.600000000000001" thickBot="1"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phoneticPr fontId="1"/>
  <conditionalFormatting sqref="A2:B32">
    <cfRule type="expression" dxfId="11" priority="1">
      <formula>$B2="祝"</formula>
    </cfRule>
    <cfRule type="expression" dxfId="10" priority="2">
      <formula>$B2="土"</formula>
    </cfRule>
    <cfRule type="expression" dxfId="9" priority="3">
      <formula>$B2="日"</formula>
    </cfRule>
    <cfRule type="expression" dxfId="8" priority="4">
      <formula>$B2="土"</formula>
    </cfRule>
    <cfRule type="expression" dxfId="7" priority="5">
      <formula>$B2="土"</formula>
    </cfRule>
    <cfRule type="expression" dxfId="6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AB9C-9F80-4396-A55D-E4B5BBC267A4}">
  <sheetPr>
    <tabColor theme="2"/>
  </sheetPr>
  <dimension ref="A1:P39"/>
  <sheetViews>
    <sheetView tabSelected="1" topLeftCell="A5" zoomScaleNormal="100" workbookViewId="0">
      <selection activeCell="L21" sqref="L21"/>
    </sheetView>
  </sheetViews>
  <sheetFormatPr defaultRowHeight="18"/>
  <cols>
    <col min="1" max="1" width="11.296875" bestFit="1" customWidth="1"/>
    <col min="2" max="2" width="5.19921875" bestFit="1" customWidth="1"/>
    <col min="3" max="3" width="6" bestFit="1" customWidth="1"/>
    <col min="4" max="5" width="9" bestFit="1" customWidth="1"/>
    <col min="6" max="6" width="6" bestFit="1" customWidth="1"/>
    <col min="7" max="7" width="9.19921875" bestFit="1" customWidth="1"/>
    <col min="8" max="8" width="5.19921875" style="3" bestFit="1" customWidth="1"/>
    <col min="9" max="9" width="3.09765625" style="3" customWidth="1"/>
    <col min="11" max="11" width="7.09765625" style="7" bestFit="1" customWidth="1"/>
    <col min="13" max="13" width="8.796875" style="1"/>
    <col min="15" max="15" width="4.59765625" customWidth="1"/>
  </cols>
  <sheetData>
    <row r="1" spans="1:16" s="4" customFormat="1">
      <c r="B1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6" t="s">
        <v>5</v>
      </c>
      <c r="H1" s="5" t="s">
        <v>6</v>
      </c>
      <c r="I1" s="5"/>
      <c r="J1" s="4" t="s">
        <v>7</v>
      </c>
      <c r="K1" s="7" t="s">
        <v>8</v>
      </c>
      <c r="L1" s="4" t="s">
        <v>9</v>
      </c>
      <c r="M1" s="6" t="s">
        <v>10</v>
      </c>
      <c r="N1" s="4" t="s">
        <v>11</v>
      </c>
      <c r="P1" s="4" t="s">
        <v>12</v>
      </c>
    </row>
    <row r="2" spans="1:16">
      <c r="A2" s="18">
        <v>46054</v>
      </c>
      <c r="B2" t="str">
        <f>TEXT(A2, "aaa")</f>
        <v>日</v>
      </c>
      <c r="C2" s="11"/>
      <c r="D2" s="11"/>
      <c r="E2" s="11"/>
      <c r="F2" s="11"/>
      <c r="G2" s="23"/>
      <c r="H2" s="3">
        <f t="shared" ref="H2:H32" si="0">IF(J2&gt;0,1,0)</f>
        <v>0</v>
      </c>
      <c r="J2" s="1">
        <f t="shared" ref="J2:J32" si="1">F2-C2-(E2-D2)</f>
        <v>0</v>
      </c>
      <c r="K2" s="8">
        <f t="shared" ref="K2:K32" si="2">IF(J2&gt;TIME(5,59,0),TIME(0,45,0),0)</f>
        <v>0</v>
      </c>
      <c r="L2" s="1">
        <f>J2-K2</f>
        <v>0</v>
      </c>
      <c r="M2" s="1">
        <f>IF(L2&gt;=TIME(8,0,0),L2-TIME(8,0,0),0)</f>
        <v>0</v>
      </c>
      <c r="N2" s="1">
        <f>"5:00"-MIN(C2,"5:00")+MAX((F2&lt;C2)+F2,"22:00")-"22:00"</f>
        <v>0</v>
      </c>
    </row>
    <row r="3" spans="1:16">
      <c r="A3" s="18">
        <v>46055</v>
      </c>
      <c r="B3" t="str">
        <f t="shared" ref="B3:B32" si="3">TEXT(A3, "aaa")</f>
        <v>月</v>
      </c>
      <c r="C3" s="11"/>
      <c r="D3" s="11"/>
      <c r="E3" s="11"/>
      <c r="F3" s="11"/>
      <c r="G3" s="23"/>
      <c r="H3" s="3">
        <f t="shared" si="0"/>
        <v>0</v>
      </c>
      <c r="J3" s="1">
        <f t="shared" si="1"/>
        <v>0</v>
      </c>
      <c r="K3" s="8">
        <f t="shared" si="2"/>
        <v>0</v>
      </c>
      <c r="L3" s="1">
        <f t="shared" ref="L3:L32" si="4">J3-K3</f>
        <v>0</v>
      </c>
      <c r="M3" s="1">
        <f t="shared" ref="M3:M32" si="5">IF(L3&gt;=TIME(8,0,0),L3-TIME(8,0,0),0)</f>
        <v>0</v>
      </c>
      <c r="N3" s="1">
        <f t="shared" ref="N3:N32" si="6">"5:00"-MIN(C3,"5:00")+MAX((F3&lt;C3)+F3,"22:00")-"22:00"</f>
        <v>0</v>
      </c>
    </row>
    <row r="4" spans="1:16">
      <c r="A4" s="18">
        <v>46056</v>
      </c>
      <c r="B4" t="str">
        <f t="shared" si="3"/>
        <v>火</v>
      </c>
      <c r="C4" s="11"/>
      <c r="D4" s="11"/>
      <c r="E4" s="11"/>
      <c r="F4" s="11"/>
      <c r="G4" s="23"/>
      <c r="H4" s="3">
        <f t="shared" si="0"/>
        <v>0</v>
      </c>
      <c r="J4" s="1">
        <f t="shared" si="1"/>
        <v>0</v>
      </c>
      <c r="K4" s="8">
        <f t="shared" si="2"/>
        <v>0</v>
      </c>
      <c r="L4" s="1">
        <f t="shared" si="4"/>
        <v>0</v>
      </c>
      <c r="M4" s="1">
        <f t="shared" si="5"/>
        <v>0</v>
      </c>
      <c r="N4" s="1">
        <f t="shared" si="6"/>
        <v>0</v>
      </c>
    </row>
    <row r="5" spans="1:16">
      <c r="A5" s="18">
        <v>46057</v>
      </c>
      <c r="B5" t="str">
        <f t="shared" si="3"/>
        <v>水</v>
      </c>
      <c r="C5" s="12"/>
      <c r="D5" s="11"/>
      <c r="E5" s="11"/>
      <c r="F5" s="11"/>
      <c r="G5" s="23"/>
      <c r="H5" s="3">
        <f t="shared" si="0"/>
        <v>0</v>
      </c>
      <c r="J5" s="1">
        <f t="shared" si="1"/>
        <v>0</v>
      </c>
      <c r="K5" s="8">
        <f t="shared" si="2"/>
        <v>0</v>
      </c>
      <c r="L5" s="1">
        <f t="shared" si="4"/>
        <v>0</v>
      </c>
      <c r="M5" s="1">
        <f t="shared" si="5"/>
        <v>0</v>
      </c>
      <c r="N5" s="1">
        <f t="shared" si="6"/>
        <v>0</v>
      </c>
    </row>
    <row r="6" spans="1:16">
      <c r="A6" s="18">
        <v>46058</v>
      </c>
      <c r="B6" t="str">
        <f t="shared" si="3"/>
        <v>木</v>
      </c>
      <c r="C6" s="11"/>
      <c r="D6" s="11"/>
      <c r="E6" s="11"/>
      <c r="F6" s="11"/>
      <c r="G6" s="23"/>
      <c r="H6" s="3">
        <f t="shared" si="0"/>
        <v>0</v>
      </c>
      <c r="J6" s="1">
        <f t="shared" si="1"/>
        <v>0</v>
      </c>
      <c r="K6" s="8">
        <f t="shared" si="2"/>
        <v>0</v>
      </c>
      <c r="L6" s="1">
        <f t="shared" si="4"/>
        <v>0</v>
      </c>
      <c r="M6" s="1">
        <f t="shared" si="5"/>
        <v>0</v>
      </c>
      <c r="N6" s="1">
        <f t="shared" si="6"/>
        <v>0</v>
      </c>
    </row>
    <row r="7" spans="1:16">
      <c r="A7" s="18">
        <v>46059</v>
      </c>
      <c r="B7" t="str">
        <f>TEXT(A7, "aaa")</f>
        <v>金</v>
      </c>
      <c r="C7" s="11"/>
      <c r="D7" s="11"/>
      <c r="E7" s="11"/>
      <c r="F7" s="11"/>
      <c r="G7" s="23"/>
      <c r="H7" s="3">
        <f t="shared" si="0"/>
        <v>0</v>
      </c>
      <c r="J7" s="1">
        <f t="shared" si="1"/>
        <v>0</v>
      </c>
      <c r="K7" s="8">
        <f t="shared" si="2"/>
        <v>0</v>
      </c>
      <c r="L7" s="1">
        <f t="shared" si="4"/>
        <v>0</v>
      </c>
      <c r="M7" s="1">
        <f t="shared" si="5"/>
        <v>0</v>
      </c>
      <c r="N7" s="1">
        <f t="shared" si="6"/>
        <v>0</v>
      </c>
    </row>
    <row r="8" spans="1:16">
      <c r="A8" s="18">
        <v>46060</v>
      </c>
      <c r="B8" t="str">
        <f t="shared" si="3"/>
        <v>土</v>
      </c>
      <c r="C8" s="11"/>
      <c r="D8" s="11"/>
      <c r="E8" s="11"/>
      <c r="F8" s="11"/>
      <c r="G8" s="23"/>
      <c r="H8" s="3">
        <f t="shared" si="0"/>
        <v>0</v>
      </c>
      <c r="J8" s="1">
        <f t="shared" si="1"/>
        <v>0</v>
      </c>
      <c r="K8" s="8">
        <f t="shared" si="2"/>
        <v>0</v>
      </c>
      <c r="L8" s="1">
        <f t="shared" si="4"/>
        <v>0</v>
      </c>
      <c r="M8" s="1">
        <f t="shared" si="5"/>
        <v>0</v>
      </c>
      <c r="N8" s="1">
        <f t="shared" si="6"/>
        <v>0</v>
      </c>
    </row>
    <row r="9" spans="1:16">
      <c r="A9" s="18">
        <v>46061</v>
      </c>
      <c r="B9" t="str">
        <f t="shared" si="3"/>
        <v>日</v>
      </c>
      <c r="C9" s="11"/>
      <c r="D9" s="11"/>
      <c r="E9" s="11"/>
      <c r="F9" s="11"/>
      <c r="G9" s="23"/>
      <c r="H9" s="3">
        <f t="shared" si="0"/>
        <v>0</v>
      </c>
      <c r="J9" s="1">
        <f t="shared" si="1"/>
        <v>0</v>
      </c>
      <c r="K9" s="8">
        <f t="shared" si="2"/>
        <v>0</v>
      </c>
      <c r="L9" s="1">
        <f t="shared" si="4"/>
        <v>0</v>
      </c>
      <c r="M9" s="1">
        <f t="shared" si="5"/>
        <v>0</v>
      </c>
      <c r="N9" s="1">
        <f t="shared" si="6"/>
        <v>0</v>
      </c>
    </row>
    <row r="10" spans="1:16">
      <c r="A10" s="18">
        <v>46062</v>
      </c>
      <c r="B10" t="str">
        <f t="shared" si="3"/>
        <v>月</v>
      </c>
      <c r="C10" s="11"/>
      <c r="D10" s="11"/>
      <c r="E10" s="11"/>
      <c r="F10" s="11"/>
      <c r="G10" s="23"/>
      <c r="H10" s="3">
        <f t="shared" si="0"/>
        <v>0</v>
      </c>
      <c r="J10" s="1">
        <f t="shared" si="1"/>
        <v>0</v>
      </c>
      <c r="K10" s="8">
        <f t="shared" si="2"/>
        <v>0</v>
      </c>
      <c r="L10" s="1">
        <f t="shared" si="4"/>
        <v>0</v>
      </c>
      <c r="M10" s="1">
        <f t="shared" si="5"/>
        <v>0</v>
      </c>
      <c r="N10" s="1">
        <f t="shared" si="6"/>
        <v>0</v>
      </c>
    </row>
    <row r="11" spans="1:16">
      <c r="A11" s="18">
        <v>46063</v>
      </c>
      <c r="B11" t="str">
        <f t="shared" si="3"/>
        <v>火</v>
      </c>
      <c r="C11" s="11"/>
      <c r="D11" s="11"/>
      <c r="E11" s="11"/>
      <c r="F11" s="11"/>
      <c r="G11" s="23"/>
      <c r="H11" s="3">
        <f t="shared" si="0"/>
        <v>0</v>
      </c>
      <c r="J11" s="1">
        <f t="shared" si="1"/>
        <v>0</v>
      </c>
      <c r="K11" s="8">
        <f t="shared" si="2"/>
        <v>0</v>
      </c>
      <c r="L11" s="1">
        <f t="shared" si="4"/>
        <v>0</v>
      </c>
      <c r="M11" s="1">
        <f t="shared" si="5"/>
        <v>0</v>
      </c>
      <c r="N11" s="1">
        <f t="shared" si="6"/>
        <v>0</v>
      </c>
    </row>
    <row r="12" spans="1:16">
      <c r="A12" s="18">
        <v>46064</v>
      </c>
      <c r="B12" t="str">
        <f t="shared" si="3"/>
        <v>水</v>
      </c>
      <c r="C12" s="11"/>
      <c r="D12" s="11"/>
      <c r="E12" s="11"/>
      <c r="F12" s="11"/>
      <c r="G12" s="23"/>
      <c r="H12" s="3">
        <f t="shared" si="0"/>
        <v>0</v>
      </c>
      <c r="J12" s="1">
        <f t="shared" si="1"/>
        <v>0</v>
      </c>
      <c r="K12" s="8">
        <f t="shared" si="2"/>
        <v>0</v>
      </c>
      <c r="L12" s="1">
        <f t="shared" si="4"/>
        <v>0</v>
      </c>
      <c r="M12" s="1">
        <f t="shared" si="5"/>
        <v>0</v>
      </c>
      <c r="N12" s="1">
        <f t="shared" si="6"/>
        <v>0</v>
      </c>
    </row>
    <row r="13" spans="1:16">
      <c r="A13" s="18">
        <v>46065</v>
      </c>
      <c r="B13" t="str">
        <f t="shared" si="3"/>
        <v>木</v>
      </c>
      <c r="C13" s="11"/>
      <c r="D13" s="11"/>
      <c r="E13" s="11"/>
      <c r="F13" s="11"/>
      <c r="G13" s="23"/>
      <c r="H13" s="3">
        <f t="shared" si="0"/>
        <v>0</v>
      </c>
      <c r="J13" s="1">
        <f t="shared" si="1"/>
        <v>0</v>
      </c>
      <c r="K13" s="8">
        <f t="shared" si="2"/>
        <v>0</v>
      </c>
      <c r="L13" s="1">
        <f t="shared" si="4"/>
        <v>0</v>
      </c>
      <c r="M13" s="1">
        <f t="shared" si="5"/>
        <v>0</v>
      </c>
      <c r="N13" s="1">
        <f t="shared" si="6"/>
        <v>0</v>
      </c>
    </row>
    <row r="14" spans="1:16">
      <c r="A14" s="18">
        <v>46066</v>
      </c>
      <c r="B14" t="str">
        <f t="shared" si="3"/>
        <v>金</v>
      </c>
      <c r="C14" s="11"/>
      <c r="D14" s="11"/>
      <c r="E14" s="11"/>
      <c r="F14" s="11"/>
      <c r="G14" s="23"/>
      <c r="H14" s="3">
        <f t="shared" si="0"/>
        <v>0</v>
      </c>
      <c r="J14" s="1">
        <f t="shared" si="1"/>
        <v>0</v>
      </c>
      <c r="K14" s="8">
        <f t="shared" si="2"/>
        <v>0</v>
      </c>
      <c r="L14" s="1">
        <f t="shared" si="4"/>
        <v>0</v>
      </c>
      <c r="M14" s="1">
        <f t="shared" si="5"/>
        <v>0</v>
      </c>
      <c r="N14" s="1">
        <f t="shared" si="6"/>
        <v>0</v>
      </c>
    </row>
    <row r="15" spans="1:16">
      <c r="A15" s="18">
        <v>46067</v>
      </c>
      <c r="B15" t="str">
        <f t="shared" si="3"/>
        <v>土</v>
      </c>
      <c r="C15" s="11"/>
      <c r="D15" s="11"/>
      <c r="E15" s="11"/>
      <c r="F15" s="11"/>
      <c r="G15" s="23"/>
      <c r="H15" s="3">
        <f t="shared" si="0"/>
        <v>0</v>
      </c>
      <c r="J15" s="1">
        <f t="shared" si="1"/>
        <v>0</v>
      </c>
      <c r="K15" s="8">
        <f t="shared" si="2"/>
        <v>0</v>
      </c>
      <c r="L15" s="1">
        <f t="shared" si="4"/>
        <v>0</v>
      </c>
      <c r="M15" s="1">
        <f t="shared" si="5"/>
        <v>0</v>
      </c>
      <c r="N15" s="1">
        <f t="shared" si="6"/>
        <v>0</v>
      </c>
    </row>
    <row r="16" spans="1:16">
      <c r="A16" s="18">
        <v>46068</v>
      </c>
      <c r="B16" t="str">
        <f t="shared" si="3"/>
        <v>日</v>
      </c>
      <c r="C16" s="11"/>
      <c r="D16" s="11"/>
      <c r="E16" s="11"/>
      <c r="F16" s="11"/>
      <c r="G16" s="23"/>
      <c r="H16" s="3">
        <f t="shared" si="0"/>
        <v>0</v>
      </c>
      <c r="J16" s="1">
        <f t="shared" si="1"/>
        <v>0</v>
      </c>
      <c r="K16" s="8">
        <f t="shared" si="2"/>
        <v>0</v>
      </c>
      <c r="L16" s="1">
        <f t="shared" si="4"/>
        <v>0</v>
      </c>
      <c r="M16" s="1">
        <f t="shared" si="5"/>
        <v>0</v>
      </c>
      <c r="N16" s="1">
        <f t="shared" si="6"/>
        <v>0</v>
      </c>
    </row>
    <row r="17" spans="1:14">
      <c r="A17" s="18">
        <v>46069</v>
      </c>
      <c r="B17" t="str">
        <f t="shared" si="3"/>
        <v>月</v>
      </c>
      <c r="C17" s="11"/>
      <c r="D17" s="11"/>
      <c r="E17" s="11"/>
      <c r="F17" s="11"/>
      <c r="G17" s="23"/>
      <c r="H17" s="3">
        <f t="shared" si="0"/>
        <v>0</v>
      </c>
      <c r="J17" s="1">
        <f t="shared" si="1"/>
        <v>0</v>
      </c>
      <c r="K17" s="8">
        <f t="shared" si="2"/>
        <v>0</v>
      </c>
      <c r="L17" s="1">
        <f t="shared" si="4"/>
        <v>0</v>
      </c>
      <c r="M17" s="1">
        <f t="shared" si="5"/>
        <v>0</v>
      </c>
      <c r="N17" s="1">
        <f t="shared" si="6"/>
        <v>0</v>
      </c>
    </row>
    <row r="18" spans="1:14">
      <c r="A18" s="18">
        <v>46070</v>
      </c>
      <c r="B18" t="str">
        <f t="shared" si="3"/>
        <v>火</v>
      </c>
      <c r="C18" s="11"/>
      <c r="D18" s="11"/>
      <c r="E18" s="11"/>
      <c r="F18" s="11"/>
      <c r="G18" s="23"/>
      <c r="H18" s="3">
        <f t="shared" si="0"/>
        <v>0</v>
      </c>
      <c r="J18" s="1">
        <f t="shared" si="1"/>
        <v>0</v>
      </c>
      <c r="K18" s="8">
        <f t="shared" si="2"/>
        <v>0</v>
      </c>
      <c r="L18" s="1">
        <f t="shared" si="4"/>
        <v>0</v>
      </c>
      <c r="M18" s="1">
        <f t="shared" si="5"/>
        <v>0</v>
      </c>
      <c r="N18" s="1">
        <f t="shared" si="6"/>
        <v>0</v>
      </c>
    </row>
    <row r="19" spans="1:14">
      <c r="A19" s="18">
        <v>46071</v>
      </c>
      <c r="B19" t="str">
        <f t="shared" si="3"/>
        <v>水</v>
      </c>
      <c r="C19" s="11"/>
      <c r="D19" s="11"/>
      <c r="E19" s="11"/>
      <c r="F19" s="11"/>
      <c r="G19" s="23"/>
      <c r="H19" s="3">
        <f t="shared" si="0"/>
        <v>0</v>
      </c>
      <c r="J19" s="1">
        <f t="shared" si="1"/>
        <v>0</v>
      </c>
      <c r="K19" s="8">
        <f t="shared" si="2"/>
        <v>0</v>
      </c>
      <c r="L19" s="1">
        <f t="shared" si="4"/>
        <v>0</v>
      </c>
      <c r="M19" s="1">
        <f t="shared" si="5"/>
        <v>0</v>
      </c>
      <c r="N19" s="1">
        <f t="shared" si="6"/>
        <v>0</v>
      </c>
    </row>
    <row r="20" spans="1:14">
      <c r="A20" s="18">
        <v>46072</v>
      </c>
      <c r="B20" t="str">
        <f t="shared" si="3"/>
        <v>木</v>
      </c>
      <c r="C20" s="11"/>
      <c r="D20" s="11"/>
      <c r="E20" s="11"/>
      <c r="F20" s="11"/>
      <c r="G20" s="23"/>
      <c r="H20" s="3">
        <f t="shared" si="0"/>
        <v>0</v>
      </c>
      <c r="J20" s="1">
        <f t="shared" si="1"/>
        <v>0</v>
      </c>
      <c r="K20" s="8">
        <f t="shared" si="2"/>
        <v>0</v>
      </c>
      <c r="L20" s="1">
        <f t="shared" si="4"/>
        <v>0</v>
      </c>
      <c r="M20" s="1">
        <f t="shared" si="5"/>
        <v>0</v>
      </c>
      <c r="N20" s="1">
        <f t="shared" si="6"/>
        <v>0</v>
      </c>
    </row>
    <row r="21" spans="1:14">
      <c r="A21" s="18">
        <v>46073</v>
      </c>
      <c r="B21" t="str">
        <f t="shared" si="3"/>
        <v>金</v>
      </c>
      <c r="C21" s="11"/>
      <c r="D21" s="11"/>
      <c r="E21" s="11"/>
      <c r="F21" s="11"/>
      <c r="G21" s="23"/>
      <c r="H21" s="3">
        <f t="shared" si="0"/>
        <v>0</v>
      </c>
      <c r="J21" s="1">
        <f t="shared" si="1"/>
        <v>0</v>
      </c>
      <c r="K21" s="8">
        <f t="shared" si="2"/>
        <v>0</v>
      </c>
      <c r="L21" s="1">
        <f t="shared" si="4"/>
        <v>0</v>
      </c>
      <c r="M21" s="1">
        <f t="shared" si="5"/>
        <v>0</v>
      </c>
      <c r="N21" s="1">
        <f t="shared" si="6"/>
        <v>0</v>
      </c>
    </row>
    <row r="22" spans="1:14">
      <c r="A22" s="18">
        <v>46074</v>
      </c>
      <c r="B22" t="str">
        <f t="shared" si="3"/>
        <v>土</v>
      </c>
      <c r="C22" s="11"/>
      <c r="D22" s="11"/>
      <c r="E22" s="11"/>
      <c r="F22" s="11"/>
      <c r="G22" s="23"/>
      <c r="H22" s="3">
        <f t="shared" si="0"/>
        <v>0</v>
      </c>
      <c r="J22" s="1">
        <f t="shared" si="1"/>
        <v>0</v>
      </c>
      <c r="K22" s="8">
        <f t="shared" si="2"/>
        <v>0</v>
      </c>
      <c r="L22" s="1">
        <f t="shared" si="4"/>
        <v>0</v>
      </c>
      <c r="M22" s="1">
        <f t="shared" si="5"/>
        <v>0</v>
      </c>
      <c r="N22" s="1">
        <f t="shared" si="6"/>
        <v>0</v>
      </c>
    </row>
    <row r="23" spans="1:14">
      <c r="A23" s="18">
        <v>46075</v>
      </c>
      <c r="B23" t="str">
        <f t="shared" si="3"/>
        <v>日</v>
      </c>
      <c r="C23" s="11"/>
      <c r="D23" s="11"/>
      <c r="E23" s="11"/>
      <c r="F23" s="11"/>
      <c r="G23" s="23"/>
      <c r="H23" s="3">
        <f t="shared" si="0"/>
        <v>0</v>
      </c>
      <c r="J23" s="1">
        <f t="shared" si="1"/>
        <v>0</v>
      </c>
      <c r="K23" s="8">
        <f t="shared" si="2"/>
        <v>0</v>
      </c>
      <c r="L23" s="1">
        <f t="shared" si="4"/>
        <v>0</v>
      </c>
      <c r="M23" s="1">
        <f t="shared" si="5"/>
        <v>0</v>
      </c>
      <c r="N23" s="1">
        <f t="shared" si="6"/>
        <v>0</v>
      </c>
    </row>
    <row r="24" spans="1:14">
      <c r="A24" s="18">
        <v>46076</v>
      </c>
      <c r="B24" t="str">
        <f t="shared" si="3"/>
        <v>月</v>
      </c>
      <c r="C24" s="11"/>
      <c r="D24" s="11"/>
      <c r="E24" s="11"/>
      <c r="F24" s="11"/>
      <c r="G24" s="23"/>
      <c r="H24" s="3">
        <f t="shared" si="0"/>
        <v>0</v>
      </c>
      <c r="J24" s="1">
        <f t="shared" si="1"/>
        <v>0</v>
      </c>
      <c r="K24" s="8">
        <f t="shared" si="2"/>
        <v>0</v>
      </c>
      <c r="L24" s="1">
        <f t="shared" si="4"/>
        <v>0</v>
      </c>
      <c r="M24" s="1">
        <f t="shared" si="5"/>
        <v>0</v>
      </c>
      <c r="N24" s="1">
        <f t="shared" si="6"/>
        <v>0</v>
      </c>
    </row>
    <row r="25" spans="1:14">
      <c r="A25" s="18">
        <v>46077</v>
      </c>
      <c r="B25" t="str">
        <f t="shared" si="3"/>
        <v>火</v>
      </c>
      <c r="C25" s="11"/>
      <c r="D25" s="11"/>
      <c r="E25" s="11"/>
      <c r="F25" s="11"/>
      <c r="G25" s="23"/>
      <c r="H25" s="3">
        <f t="shared" si="0"/>
        <v>0</v>
      </c>
      <c r="J25" s="1">
        <f t="shared" si="1"/>
        <v>0</v>
      </c>
      <c r="K25" s="8">
        <f t="shared" si="2"/>
        <v>0</v>
      </c>
      <c r="L25" s="1">
        <f t="shared" si="4"/>
        <v>0</v>
      </c>
      <c r="M25" s="1">
        <f t="shared" si="5"/>
        <v>0</v>
      </c>
      <c r="N25" s="1">
        <f t="shared" si="6"/>
        <v>0</v>
      </c>
    </row>
    <row r="26" spans="1:14">
      <c r="A26" s="18">
        <v>46078</v>
      </c>
      <c r="B26" t="str">
        <f t="shared" si="3"/>
        <v>水</v>
      </c>
      <c r="C26" s="11"/>
      <c r="D26" s="11"/>
      <c r="E26" s="11"/>
      <c r="F26" s="11"/>
      <c r="G26" s="23"/>
      <c r="H26" s="3">
        <f t="shared" si="0"/>
        <v>0</v>
      </c>
      <c r="J26" s="1">
        <f t="shared" si="1"/>
        <v>0</v>
      </c>
      <c r="K26" s="8">
        <f t="shared" si="2"/>
        <v>0</v>
      </c>
      <c r="L26" s="1">
        <f t="shared" si="4"/>
        <v>0</v>
      </c>
      <c r="M26" s="1">
        <f t="shared" si="5"/>
        <v>0</v>
      </c>
      <c r="N26" s="1">
        <f t="shared" si="6"/>
        <v>0</v>
      </c>
    </row>
    <row r="27" spans="1:14">
      <c r="A27" s="18">
        <v>46079</v>
      </c>
      <c r="B27" t="str">
        <f t="shared" si="3"/>
        <v>木</v>
      </c>
      <c r="C27" s="11"/>
      <c r="D27" s="11"/>
      <c r="E27" s="11"/>
      <c r="F27" s="11"/>
      <c r="G27" s="23"/>
      <c r="H27" s="3">
        <f t="shared" si="0"/>
        <v>0</v>
      </c>
      <c r="J27" s="1">
        <f t="shared" si="1"/>
        <v>0</v>
      </c>
      <c r="K27" s="8">
        <f t="shared" si="2"/>
        <v>0</v>
      </c>
      <c r="L27" s="1">
        <f t="shared" si="4"/>
        <v>0</v>
      </c>
      <c r="M27" s="1">
        <f t="shared" si="5"/>
        <v>0</v>
      </c>
      <c r="N27" s="1">
        <f t="shared" si="6"/>
        <v>0</v>
      </c>
    </row>
    <row r="28" spans="1:14">
      <c r="A28" s="18">
        <v>46080</v>
      </c>
      <c r="B28" t="str">
        <f t="shared" si="3"/>
        <v>金</v>
      </c>
      <c r="C28" s="11"/>
      <c r="D28" s="11"/>
      <c r="E28" s="11"/>
      <c r="F28" s="11"/>
      <c r="G28" s="23"/>
      <c r="H28" s="3">
        <f t="shared" si="0"/>
        <v>0</v>
      </c>
      <c r="J28" s="1">
        <f t="shared" si="1"/>
        <v>0</v>
      </c>
      <c r="K28" s="8">
        <f t="shared" si="2"/>
        <v>0</v>
      </c>
      <c r="L28" s="1">
        <f t="shared" si="4"/>
        <v>0</v>
      </c>
      <c r="M28" s="1">
        <f t="shared" si="5"/>
        <v>0</v>
      </c>
      <c r="N28" s="1">
        <f t="shared" si="6"/>
        <v>0</v>
      </c>
    </row>
    <row r="29" spans="1:14">
      <c r="A29" s="18">
        <v>46081</v>
      </c>
      <c r="B29" t="str">
        <f t="shared" si="3"/>
        <v>土</v>
      </c>
      <c r="C29" s="11"/>
      <c r="D29" s="11"/>
      <c r="E29" s="11"/>
      <c r="F29" s="11"/>
      <c r="G29" s="23"/>
      <c r="H29" s="3">
        <f t="shared" si="0"/>
        <v>0</v>
      </c>
      <c r="J29" s="1">
        <f t="shared" si="1"/>
        <v>0</v>
      </c>
      <c r="K29" s="8">
        <f t="shared" si="2"/>
        <v>0</v>
      </c>
      <c r="L29" s="1">
        <f t="shared" si="4"/>
        <v>0</v>
      </c>
      <c r="M29" s="1">
        <f t="shared" si="5"/>
        <v>0</v>
      </c>
      <c r="N29" s="1">
        <f t="shared" si="6"/>
        <v>0</v>
      </c>
    </row>
    <row r="30" spans="1:14">
      <c r="A30" s="18"/>
      <c r="B30" t="str">
        <f t="shared" si="3"/>
        <v>土</v>
      </c>
      <c r="C30" s="11"/>
      <c r="D30" s="11"/>
      <c r="E30" s="11"/>
      <c r="F30" s="11"/>
      <c r="G30" s="23"/>
      <c r="H30" s="3">
        <f t="shared" si="0"/>
        <v>0</v>
      </c>
      <c r="J30" s="1">
        <f t="shared" si="1"/>
        <v>0</v>
      </c>
      <c r="K30" s="8">
        <f t="shared" si="2"/>
        <v>0</v>
      </c>
      <c r="L30" s="1">
        <f t="shared" si="4"/>
        <v>0</v>
      </c>
      <c r="M30" s="1">
        <f t="shared" si="5"/>
        <v>0</v>
      </c>
      <c r="N30" s="1">
        <f t="shared" si="6"/>
        <v>0</v>
      </c>
    </row>
    <row r="31" spans="1:14">
      <c r="A31" s="18"/>
      <c r="B31" t="str">
        <f t="shared" si="3"/>
        <v>土</v>
      </c>
      <c r="C31" s="11"/>
      <c r="D31" s="11"/>
      <c r="E31" s="11"/>
      <c r="F31" s="11"/>
      <c r="G31" s="23"/>
      <c r="H31" s="3">
        <f t="shared" si="0"/>
        <v>0</v>
      </c>
      <c r="J31" s="1">
        <f t="shared" si="1"/>
        <v>0</v>
      </c>
      <c r="K31" s="8">
        <f t="shared" si="2"/>
        <v>0</v>
      </c>
      <c r="L31" s="1">
        <f t="shared" si="4"/>
        <v>0</v>
      </c>
      <c r="M31" s="1">
        <f t="shared" si="5"/>
        <v>0</v>
      </c>
      <c r="N31" s="1">
        <f t="shared" si="6"/>
        <v>0</v>
      </c>
    </row>
    <row r="32" spans="1:14">
      <c r="A32" s="18"/>
      <c r="B32" t="str">
        <f t="shared" si="3"/>
        <v>土</v>
      </c>
      <c r="C32" s="11"/>
      <c r="D32" s="11"/>
      <c r="E32" s="11"/>
      <c r="F32" s="11"/>
      <c r="G32" s="23"/>
      <c r="H32" s="3">
        <f t="shared" si="0"/>
        <v>0</v>
      </c>
      <c r="J32" s="1">
        <f t="shared" si="1"/>
        <v>0</v>
      </c>
      <c r="K32" s="8">
        <f t="shared" si="2"/>
        <v>0</v>
      </c>
      <c r="L32" s="1">
        <f t="shared" si="4"/>
        <v>0</v>
      </c>
      <c r="M32" s="1">
        <f t="shared" si="5"/>
        <v>0</v>
      </c>
      <c r="N32" s="1">
        <f t="shared" si="6"/>
        <v>0</v>
      </c>
    </row>
    <row r="33" spans="1:14" ht="18.600000000000001" thickBot="1">
      <c r="A33" s="24"/>
      <c r="G33" t="s">
        <v>14</v>
      </c>
      <c r="H33" s="3" t="s">
        <v>6</v>
      </c>
      <c r="J33" s="1" t="s">
        <v>15</v>
      </c>
      <c r="K33" s="8"/>
      <c r="L33" s="1" t="s">
        <v>7</v>
      </c>
      <c r="M33" s="1" t="s">
        <v>16</v>
      </c>
      <c r="N33" s="1" t="s">
        <v>11</v>
      </c>
    </row>
    <row r="34" spans="1:14" ht="18.600000000000001" thickBot="1">
      <c r="A34" s="24"/>
      <c r="G34" s="20">
        <f>SUM(G2:G32)</f>
        <v>0</v>
      </c>
      <c r="H34" s="9">
        <f>SUM(H2:H32)</f>
        <v>0</v>
      </c>
      <c r="I34" s="15"/>
      <c r="J34" s="2">
        <f>SUM(J2:J32)</f>
        <v>0</v>
      </c>
      <c r="K34" s="2">
        <f>SUM(K2:K32)</f>
        <v>0</v>
      </c>
      <c r="L34" s="13">
        <f>SUM(L2:L32)</f>
        <v>0</v>
      </c>
      <c r="M34" s="22">
        <f>SUM(M2:M32)</f>
        <v>0</v>
      </c>
      <c r="N34" s="22">
        <f>SUM(N2:N32)</f>
        <v>0</v>
      </c>
    </row>
    <row r="36" spans="1:14" ht="18.600000000000001" thickBot="1">
      <c r="L36" s="2">
        <f>L34*12/52</f>
        <v>0</v>
      </c>
      <c r="M36" s="1" t="s">
        <v>19</v>
      </c>
      <c r="N36" t="s">
        <v>20</v>
      </c>
    </row>
    <row r="37" spans="1:14" ht="18.600000000000001" thickBot="1">
      <c r="F37" t="s">
        <v>5</v>
      </c>
      <c r="G37" s="14">
        <f>G34*300</f>
        <v>0</v>
      </c>
      <c r="N37" t="s">
        <v>21</v>
      </c>
    </row>
    <row r="38" spans="1:14">
      <c r="N38" t="s">
        <v>22</v>
      </c>
    </row>
    <row r="39" spans="1:14">
      <c r="N39" t="s">
        <v>24</v>
      </c>
    </row>
  </sheetData>
  <autoFilter ref="A1:N34" xr:uid="{2463820A-166A-41EF-AA80-14B6CA685C95}"/>
  <phoneticPr fontId="1"/>
  <conditionalFormatting sqref="A2:B32">
    <cfRule type="expression" dxfId="5" priority="1">
      <formula>$B2="祝"</formula>
    </cfRule>
    <cfRule type="expression" dxfId="4" priority="2">
      <formula>$B2="土"</formula>
    </cfRule>
    <cfRule type="expression" dxfId="3" priority="3">
      <formula>$B2="日"</formula>
    </cfRule>
    <cfRule type="expression" dxfId="2" priority="4">
      <formula>$B2="土"</formula>
    </cfRule>
    <cfRule type="expression" dxfId="1" priority="5">
      <formula>$B2="土"</formula>
    </cfRule>
    <cfRule type="expression" dxfId="0" priority="6">
      <formula>"B=土"</formula>
    </cfRule>
  </conditionalFormatting>
  <pageMargins left="0.70866141732283472" right="0.70866141732283472" top="0.74803149606299213" bottom="0.74803149606299213" header="0.31496062992125984" footer="0.31496062992125984"/>
  <pageSetup paperSize="9" scale="91" orientation="portrait" verticalDpi="0" r:id="rId1"/>
  <headerFooter>
    <oddHeader>&amp;A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マスタ</vt:lpstr>
      <vt:lpstr>草野久美子</vt:lpstr>
      <vt:lpstr>小出美穂子</vt:lpstr>
      <vt:lpstr>高橋奈々</vt:lpstr>
      <vt:lpstr>小田麻美</vt:lpstr>
      <vt:lpstr>林萌子</vt:lpstr>
      <vt:lpstr>山田正美</vt:lpstr>
      <vt:lpstr>市川悠歩</vt:lpstr>
      <vt:lpstr>谷口ベアトリス真弥</vt:lpstr>
      <vt:lpstr>森川優豪</vt:lpstr>
      <vt:lpstr>五十嵐絢子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Tetsuya Fujimoto</dc:creator>
  <cp:keywords/>
  <dc:description/>
  <cp:lastModifiedBy>ちひろ 伊藤</cp:lastModifiedBy>
  <cp:revision/>
  <dcterms:created xsi:type="dcterms:W3CDTF">2015-06-05T18:19:34Z</dcterms:created>
  <dcterms:modified xsi:type="dcterms:W3CDTF">2026-04-20T02:22:27Z</dcterms:modified>
  <cp:category/>
  <cp:contentStatus/>
</cp:coreProperties>
</file>