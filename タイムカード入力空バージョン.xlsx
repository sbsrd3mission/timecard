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48" firstSheet="0" activeTab="12" autoFilterDateGrouping="1"/>
  </bookViews>
  <sheets>
    <sheet xmlns:r="http://schemas.openxmlformats.org/officeDocument/2006/relationships" name="マスタ" sheetId="1" state="visible" r:id="rId1"/>
    <sheet xmlns:r="http://schemas.openxmlformats.org/officeDocument/2006/relationships" name="草野" sheetId="2" state="visible" r:id="rId2"/>
    <sheet xmlns:r="http://schemas.openxmlformats.org/officeDocument/2006/relationships" name="田中" sheetId="3" state="visible" r:id="rId3"/>
    <sheet xmlns:r="http://schemas.openxmlformats.org/officeDocument/2006/relationships" name="小出" sheetId="4" state="visible" r:id="rId4"/>
    <sheet xmlns:r="http://schemas.openxmlformats.org/officeDocument/2006/relationships" name="高橋" sheetId="5" state="visible" r:id="rId5"/>
    <sheet xmlns:r="http://schemas.openxmlformats.org/officeDocument/2006/relationships" name="小田" sheetId="6" state="visible" r:id="rId6"/>
    <sheet xmlns:r="http://schemas.openxmlformats.org/officeDocument/2006/relationships" name="林" sheetId="7" state="visible" r:id="rId7"/>
    <sheet xmlns:r="http://schemas.openxmlformats.org/officeDocument/2006/relationships" name="山田" sheetId="8" state="visible" r:id="rId8"/>
    <sheet xmlns:r="http://schemas.openxmlformats.org/officeDocument/2006/relationships" name="市川（悠）" sheetId="9" state="visible" r:id="rId9"/>
    <sheet xmlns:r="http://schemas.openxmlformats.org/officeDocument/2006/relationships" name="谷口" sheetId="10" state="visible" r:id="rId10"/>
    <sheet xmlns:r="http://schemas.openxmlformats.org/officeDocument/2006/relationships" name="森川" sheetId="11" state="visible" r:id="rId11"/>
    <sheet xmlns:r="http://schemas.openxmlformats.org/officeDocument/2006/relationships" name="五十嵐" sheetId="12" state="visible" r:id="rId12"/>
    <sheet xmlns:r="http://schemas.openxmlformats.org/officeDocument/2006/relationships" name="市川（公）" sheetId="13" state="visible" r:id="rId13"/>
  </sheets>
  <definedNames>
    <definedName name="_xlnm._FilterDatabase" localSheetId="0" hidden="1">'マスタ'!$A$1:$N$34</definedName>
    <definedName name="_xlnm._FilterDatabase" localSheetId="1" hidden="1">'草野'!$A$1:$N$34</definedName>
    <definedName name="_xlnm._FilterDatabase" localSheetId="2" hidden="1">'田中'!$A$1:$N$34</definedName>
    <definedName name="_xlnm._FilterDatabase" localSheetId="3" hidden="1">'小出'!$A$1:$N$34</definedName>
    <definedName name="_xlnm._FilterDatabase" localSheetId="4" hidden="1">'高橋'!$A$1:$N$34</definedName>
    <definedName name="_xlnm._FilterDatabase" localSheetId="5" hidden="1">'小田'!$A$1:$N$34</definedName>
    <definedName name="_xlnm._FilterDatabase" localSheetId="6" hidden="1">'林'!$A$1:$N$34</definedName>
    <definedName name="_xlnm._FilterDatabase" localSheetId="7" hidden="1">'山田'!$A$1:$N$34</definedName>
    <definedName name="_xlnm._FilterDatabase" localSheetId="8" hidden="1">'市川（悠）'!$A$1:$N$34</definedName>
    <definedName name="_xlnm._FilterDatabase" localSheetId="9" hidden="1">'谷口'!$A$1:$N$34</definedName>
    <definedName name="_xlnm._FilterDatabase" localSheetId="10" hidden="1">'森川'!$A$1:$N$34</definedName>
    <definedName name="_xlnm._FilterDatabase" localSheetId="11" hidden="1">'五十嵐'!$A$1:$N$34</definedName>
    <definedName name="_xlnm._FilterDatabase" localSheetId="12" hidden="1">'市川（公）'!$A$1:$N$34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[h]:mm"/>
    <numFmt numFmtId="166" formatCode="0_);[Red]\(0\)"/>
    <numFmt numFmtId="167" formatCode="#,##0_ "/>
  </numFmts>
  <fonts count="9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b val="1"/>
      <color theme="1"/>
      <sz val="11"/>
      <scheme val="minor"/>
    </font>
    <font>
      <name val="Yu Gothic"/>
      <charset val="128"/>
      <family val="3"/>
      <b val="1"/>
      <color rgb="FFFF0000"/>
      <sz val="11"/>
      <scheme val="minor"/>
    </font>
    <font>
      <name val="Yu Gothic"/>
      <charset val="128"/>
      <family val="3"/>
      <color theme="1"/>
      <sz val="11"/>
      <scheme val="minor"/>
    </font>
    <font>
      <name val="Yu Gothic"/>
      <charset val="128"/>
      <family val="3"/>
      <color indexed="8"/>
      <sz val="11"/>
      <scheme val="minor"/>
    </font>
    <font>
      <name val="Yu Gothic"/>
      <family val="2"/>
      <color rgb="FFFF0000"/>
      <sz val="11"/>
      <scheme val="minor"/>
    </font>
    <font>
      <name val="Yu Gothic"/>
      <charset val="128"/>
      <family val="3"/>
      <sz val="11"/>
      <scheme val="minor"/>
    </font>
    <font>
      <name val="Yu Gothic"/>
      <charset val="128"/>
      <family val="3"/>
      <b val="1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6" fontId="2" fillId="0" borderId="1" pivotButton="0" quotePrefix="0" xfId="0"/>
    <xf numFmtId="0" fontId="0" fillId="2" borderId="0" applyAlignment="1" pivotButton="0" quotePrefix="0" xfId="0">
      <alignment horizontal="center"/>
    </xf>
    <xf numFmtId="164" fontId="0" fillId="2" borderId="0" pivotButton="0" quotePrefix="0" xfId="0"/>
    <xf numFmtId="20" fontId="0" fillId="2" borderId="0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0" borderId="0" pivotButton="0" quotePrefix="0" xfId="0"/>
    <xf numFmtId="166" fontId="4" fillId="0" borderId="0" pivotButton="0" quotePrefix="0" xfId="0"/>
    <xf numFmtId="166" fontId="5" fillId="0" borderId="0" pivotButton="0" quotePrefix="0" xfId="0"/>
    <xf numFmtId="165" fontId="4" fillId="0" borderId="2" pivotButton="0" quotePrefix="0" xfId="0"/>
    <xf numFmtId="165" fontId="5" fillId="0" borderId="2" pivotButton="0" quotePrefix="0" xfId="0"/>
    <xf numFmtId="166" fontId="0" fillId="3" borderId="0" pivotButton="0" quotePrefix="0" xfId="0"/>
    <xf numFmtId="0" fontId="3" fillId="0" borderId="0" pivotButton="0" quotePrefix="0" xfId="0"/>
    <xf numFmtId="166" fontId="6" fillId="3" borderId="0" pivotButton="0" quotePrefix="0" xfId="0"/>
    <xf numFmtId="0" fontId="6" fillId="0" borderId="0" pivotButton="0" quotePrefix="0" xfId="0"/>
    <xf numFmtId="0" fontId="0" fillId="0" borderId="3" pivotButton="0" quotePrefix="0" xfId="0"/>
    <xf numFmtId="0" fontId="7" fillId="0" borderId="3" pivotButton="0" quotePrefix="0" xfId="0"/>
    <xf numFmtId="0" fontId="8" fillId="0" borderId="0" pivotButton="0" quotePrefix="0" xfId="0"/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6" fontId="0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applyAlignment="1" pivotButton="0" quotePrefix="0" xfId="0">
      <alignment horizontal="right"/>
    </xf>
    <xf numFmtId="166" fontId="4" fillId="0" borderId="0" pivotButton="0" quotePrefix="0" xfId="0"/>
    <xf numFmtId="166" fontId="2" fillId="0" borderId="1" pivotButton="0" quotePrefix="0" xfId="0"/>
    <xf numFmtId="166" fontId="2" fillId="0" borderId="0" pivotButton="0" quotePrefix="0" xfId="0"/>
    <xf numFmtId="165" fontId="0" fillId="0" borderId="0" pivotButton="0" quotePrefix="0" xfId="0"/>
    <xf numFmtId="165" fontId="2" fillId="0" borderId="1" pivotButton="0" quotePrefix="0" xfId="0"/>
    <xf numFmtId="165" fontId="4" fillId="0" borderId="2" pivotButton="0" quotePrefix="0" xfId="0"/>
    <xf numFmtId="167" fontId="2" fillId="0" borderId="1" pivotButton="0" quotePrefix="0" xfId="0"/>
    <xf numFmtId="166" fontId="0" fillId="3" borderId="0" pivotButton="0" quotePrefix="0" xfId="0"/>
    <xf numFmtId="0" fontId="0" fillId="0" borderId="5" pivotButton="0" quotePrefix="0" xfId="0"/>
    <xf numFmtId="165" fontId="5" fillId="0" borderId="2" pivotButton="0" quotePrefix="0" xfId="0"/>
    <xf numFmtId="166" fontId="5" fillId="0" borderId="0" pivotButton="0" quotePrefix="0" xfId="0"/>
    <xf numFmtId="166" fontId="6" fillId="3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標準" xfId="0" builtinId="0"/>
  </cellStyles>
  <dxfs count="78"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P37"/>
  <sheetViews>
    <sheetView zoomScaleNormal="100" workbookViewId="0">
      <selection activeCell="D35" sqref="D35"/>
    </sheetView>
  </sheetViews>
  <sheetFormatPr baseColWidth="8" defaultRowHeight="18"/>
  <cols>
    <col width="10.19921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6.3984375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10" bestFit="1" customWidth="1" min="12" max="12"/>
    <col width="9.09765625" bestFit="1" customWidth="1" style="36" min="13" max="13"/>
    <col width="9.09765625" bestFit="1" customWidth="1" min="14" max="14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45870</v>
      </c>
      <c r="B2">
        <f>TEXT(A2, "aaa")</f>
        <v/>
      </c>
      <c r="C2" s="39" t="n"/>
      <c r="D2" s="39" t="n"/>
      <c r="E2" s="39" t="n"/>
      <c r="F2" s="39" t="n"/>
      <c r="G2" s="17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45871</v>
      </c>
      <c r="B3">
        <f>TEXT(A3, "aaa")</f>
        <v/>
      </c>
      <c r="C3" s="39" t="n"/>
      <c r="D3" s="39" t="n"/>
      <c r="E3" s="39" t="n"/>
      <c r="F3" s="39" t="n"/>
      <c r="G3" s="17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45872</v>
      </c>
      <c r="B4">
        <f>TEXT(A4, "aaa")</f>
        <v/>
      </c>
      <c r="C4" s="39" t="n"/>
      <c r="D4" s="39" t="n"/>
      <c r="E4" s="39" t="n"/>
      <c r="F4" s="39" t="n"/>
      <c r="G4" s="17" t="n">
        <v>1</v>
      </c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45873</v>
      </c>
      <c r="B5">
        <f>TEXT(A5, "aaa")</f>
        <v/>
      </c>
      <c r="C5" s="12" t="n"/>
      <c r="D5" s="39" t="n"/>
      <c r="E5" s="39" t="n"/>
      <c r="F5" s="39" t="n"/>
      <c r="G5" s="17" t="n">
        <v>1</v>
      </c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45874</v>
      </c>
      <c r="B6" t="inlineStr">
        <is>
          <t>祝</t>
        </is>
      </c>
      <c r="C6" s="39" t="n"/>
      <c r="D6" s="39" t="n"/>
      <c r="E6" s="39" t="n"/>
      <c r="F6" s="39" t="n"/>
      <c r="G6" s="17" t="n">
        <v>1</v>
      </c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45875</v>
      </c>
      <c r="B7" t="inlineStr">
        <is>
          <t>祝</t>
        </is>
      </c>
      <c r="C7" s="39" t="n"/>
      <c r="D7" s="39" t="n"/>
      <c r="E7" s="39" t="n"/>
      <c r="F7" s="39" t="n"/>
      <c r="G7" s="17" t="n">
        <v>1</v>
      </c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45876</v>
      </c>
      <c r="B8">
        <f>TEXT(A8, "aaa")</f>
        <v/>
      </c>
      <c r="C8" s="39" t="n"/>
      <c r="D8" s="39" t="n"/>
      <c r="E8" s="39" t="n"/>
      <c r="F8" s="39" t="n"/>
      <c r="G8" s="17" t="n">
        <v>1</v>
      </c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45877</v>
      </c>
      <c r="B9">
        <f>TEXT(A9, "aaa")</f>
        <v/>
      </c>
      <c r="C9" s="39" t="n"/>
      <c r="D9" s="39" t="n"/>
      <c r="E9" s="39" t="n"/>
      <c r="F9" s="39" t="n"/>
      <c r="G9" s="17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45878</v>
      </c>
      <c r="B10">
        <f>TEXT(A10, "aaa")</f>
        <v/>
      </c>
      <c r="C10" s="39" t="n"/>
      <c r="D10" s="39" t="n"/>
      <c r="E10" s="39" t="n"/>
      <c r="F10" s="39" t="n"/>
      <c r="G10" s="17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45879</v>
      </c>
      <c r="B11">
        <f>TEXT(A11, "aaa")</f>
        <v/>
      </c>
      <c r="C11" s="39" t="n"/>
      <c r="D11" s="39" t="n"/>
      <c r="E11" s="39" t="n"/>
      <c r="F11" s="39" t="n"/>
      <c r="G11" s="17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45880</v>
      </c>
      <c r="B12">
        <f>TEXT(A12, "aaa")</f>
        <v/>
      </c>
      <c r="C12" s="39" t="n"/>
      <c r="D12" s="39" t="n"/>
      <c r="E12" s="39" t="n"/>
      <c r="F12" s="39" t="n"/>
      <c r="G12" s="17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45881</v>
      </c>
      <c r="B13">
        <f>TEXT(A13, "aaa")</f>
        <v/>
      </c>
      <c r="C13" s="39" t="n"/>
      <c r="D13" s="39" t="n"/>
      <c r="E13" s="39" t="n"/>
      <c r="F13" s="39" t="n"/>
      <c r="G13" s="17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45882</v>
      </c>
      <c r="B14">
        <f>TEXT(A14, "aaa")</f>
        <v/>
      </c>
      <c r="C14" s="39" t="n"/>
      <c r="D14" s="39" t="n"/>
      <c r="E14" s="39" t="n"/>
      <c r="F14" s="39" t="n"/>
      <c r="G14" s="17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45883</v>
      </c>
      <c r="B15">
        <f>TEXT(A15, "aaa")</f>
        <v/>
      </c>
      <c r="C15" s="39" t="n"/>
      <c r="D15" s="39" t="n"/>
      <c r="E15" s="39" t="n"/>
      <c r="F15" s="39" t="n"/>
      <c r="G15" s="17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45884</v>
      </c>
      <c r="B16">
        <f>TEXT(A16, "aaa")</f>
        <v/>
      </c>
      <c r="C16" s="39" t="n"/>
      <c r="D16" s="39" t="n"/>
      <c r="E16" s="39" t="n"/>
      <c r="F16" s="39" t="n"/>
      <c r="G16" s="17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45885</v>
      </c>
      <c r="B17">
        <f>TEXT(A17, "aaa")</f>
        <v/>
      </c>
      <c r="C17" s="39" t="n"/>
      <c r="D17" s="39" t="n"/>
      <c r="E17" s="39" t="n"/>
      <c r="F17" s="39" t="n"/>
      <c r="G17" s="17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45886</v>
      </c>
      <c r="B18">
        <f>TEXT(A18, "aaa")</f>
        <v/>
      </c>
      <c r="C18" s="39" t="n"/>
      <c r="D18" s="39" t="n"/>
      <c r="E18" s="39" t="n"/>
      <c r="F18" s="39" t="n"/>
      <c r="G18" s="17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45887</v>
      </c>
      <c r="B19">
        <f>TEXT(A19, "aaa")</f>
        <v/>
      </c>
      <c r="C19" s="39" t="n"/>
      <c r="D19" s="39" t="n"/>
      <c r="E19" s="39" t="n"/>
      <c r="F19" s="39" t="n"/>
      <c r="G19" s="17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45888</v>
      </c>
      <c r="B20">
        <f>TEXT(A20, "aaa")</f>
        <v/>
      </c>
      <c r="C20" s="39" t="n"/>
      <c r="D20" s="39" t="n"/>
      <c r="E20" s="39" t="n"/>
      <c r="F20" s="39" t="n"/>
      <c r="G20" s="17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45889</v>
      </c>
      <c r="B21">
        <f>TEXT(A21, "aaa")</f>
        <v/>
      </c>
      <c r="C21" s="39" t="n"/>
      <c r="D21" s="39" t="n"/>
      <c r="E21" s="39" t="n"/>
      <c r="F21" s="39" t="n"/>
      <c r="G21" s="17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45890</v>
      </c>
      <c r="B22">
        <f>TEXT(A22, "aaa")</f>
        <v/>
      </c>
      <c r="C22" s="39" t="n"/>
      <c r="D22" s="39" t="n"/>
      <c r="E22" s="39" t="n"/>
      <c r="F22" s="39" t="n"/>
      <c r="G22" s="17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45891</v>
      </c>
      <c r="B23">
        <f>TEXT(A23, "aaa")</f>
        <v/>
      </c>
      <c r="C23" s="39" t="n"/>
      <c r="D23" s="39" t="n"/>
      <c r="E23" s="39" t="n"/>
      <c r="F23" s="39" t="n"/>
      <c r="G23" s="17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45892</v>
      </c>
      <c r="B24">
        <f>TEXT(A24, "aaa")</f>
        <v/>
      </c>
      <c r="C24" s="39" t="n"/>
      <c r="D24" s="39" t="n"/>
      <c r="E24" s="39" t="n"/>
      <c r="F24" s="39" t="n"/>
      <c r="G24" s="17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45893</v>
      </c>
      <c r="B25">
        <f>TEXT(A25, "aaa")</f>
        <v/>
      </c>
      <c r="C25" s="39" t="n"/>
      <c r="D25" s="39" t="n"/>
      <c r="E25" s="39" t="n"/>
      <c r="F25" s="39" t="n"/>
      <c r="G25" s="17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45894</v>
      </c>
      <c r="B26">
        <f>TEXT(A26, "aaa")</f>
        <v/>
      </c>
      <c r="C26" s="39" t="n"/>
      <c r="D26" s="39" t="n"/>
      <c r="E26" s="39" t="n"/>
      <c r="F26" s="39" t="n"/>
      <c r="G26" s="17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45895</v>
      </c>
      <c r="B27">
        <f>TEXT(A27, "aaa")</f>
        <v/>
      </c>
      <c r="C27" s="39" t="n"/>
      <c r="D27" s="39" t="n"/>
      <c r="E27" s="39" t="n"/>
      <c r="F27" s="39" t="n"/>
      <c r="G27" s="17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45896</v>
      </c>
      <c r="B28">
        <f>TEXT(A28, "aaa")</f>
        <v/>
      </c>
      <c r="C28" s="39" t="n"/>
      <c r="D28" s="39" t="n"/>
      <c r="E28" s="39" t="n"/>
      <c r="F28" s="39" t="n"/>
      <c r="G28" s="17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45897</v>
      </c>
      <c r="B29">
        <f>TEXT(A29, "aaa")</f>
        <v/>
      </c>
      <c r="C29" s="39" t="n"/>
      <c r="D29" s="39" t="n"/>
      <c r="E29" s="39" t="n"/>
      <c r="F29" s="39" t="n"/>
      <c r="G29" s="17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>
        <v>45898</v>
      </c>
      <c r="B30">
        <f>TEXT(A30, "aaa")</f>
        <v/>
      </c>
      <c r="C30" s="39" t="n"/>
      <c r="D30" s="39" t="n"/>
      <c r="E30" s="39" t="n"/>
      <c r="F30" s="39" t="n"/>
      <c r="G30" s="17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>
        <v>45899</v>
      </c>
      <c r="B31">
        <f>TEXT(A31, "aaa")</f>
        <v/>
      </c>
      <c r="C31" s="39" t="n"/>
      <c r="D31" s="39" t="n"/>
      <c r="E31" s="39" t="n"/>
      <c r="F31" s="39" t="n"/>
      <c r="G31" s="17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>
        <v>45900</v>
      </c>
      <c r="B32">
        <f>TEXT(A32, "aaa")</f>
        <v/>
      </c>
      <c r="C32" s="39" t="n"/>
      <c r="D32" s="39" t="n"/>
      <c r="E32" s="39" t="n"/>
      <c r="F32" s="39" t="n"/>
      <c r="G32" s="17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4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46">
        <f>SUM(M2:M32)</f>
        <v/>
      </c>
      <c r="N34" s="46">
        <f>SUM(N2:N32)</f>
        <v/>
      </c>
    </row>
    <row r="36" ht="18.6" customHeight="1" thickBot="1"/>
    <row r="37" ht="18.6" customHeight="1" thickBot="1">
      <c r="F37" t="inlineStr">
        <is>
          <t>賄い</t>
        </is>
      </c>
      <c r="G37" s="47">
        <f>G34*300</f>
        <v/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5" dxfId="2">
      <formula>$B2="土"</formula>
    </cfRule>
    <cfRule type="expression" priority="6" dxfId="1">
      <formula>$B2="土"</formula>
    </cfRule>
    <cfRule type="expression" priority="7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zoomScaleNormal="100" workbookViewId="0">
      <selection activeCell="K3" sqref="K2:K3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.69921875" customWidth="1" min="4" max="4"/>
    <col width="9" bestFit="1" customWidth="1" min="5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7" t="inlineStr">
        <is>
          <t>有休消化</t>
        </is>
      </c>
      <c r="B33" s="27" t="n">
        <v>0</v>
      </c>
      <c r="C33" s="33" t="inlineStr">
        <is>
          <t>残有休日数</t>
        </is>
      </c>
      <c r="D33" s="49" t="n"/>
      <c r="E33" s="27" t="inlineStr">
        <is>
          <t>24日</t>
        </is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C34" s="33" t="n"/>
      <c r="D34" s="49" t="n"/>
      <c r="E34" s="28" t="n"/>
      <c r="G34" s="4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5">
      <c r="G35" s="24" t="n"/>
    </row>
    <row r="36" ht="18.6" customHeight="1" thickBot="1">
      <c r="C36" s="32" t="n"/>
      <c r="G36" s="24" t="n"/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mergeCells count="3">
    <mergeCell ref="C36:D36"/>
    <mergeCell ref="C33:D33"/>
    <mergeCell ref="C34:D34"/>
  </mergeCells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3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K3" sqref="K2:K3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17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4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K3" sqref="K2:K3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5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M26" sqref="M26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7" t="inlineStr">
        <is>
          <t>有休消化</t>
        </is>
      </c>
      <c r="B33" s="27" t="n">
        <v>0</v>
      </c>
      <c r="C33" s="33" t="inlineStr">
        <is>
          <t>残有休日数</t>
        </is>
      </c>
      <c r="D33" s="49" t="n"/>
      <c r="E33" s="27" t="inlineStr">
        <is>
          <t>11日</t>
        </is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D34" s="24" t="n"/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mergeCells count="1">
    <mergeCell ref="C33:D33"/>
  </mergeCells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L6" sqref="L6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52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7" t="inlineStr">
        <is>
          <t>有休消化</t>
        </is>
      </c>
      <c r="B33" s="27" t="n">
        <v>0</v>
      </c>
      <c r="C33" s="33" t="inlineStr">
        <is>
          <t>残有休日数</t>
        </is>
      </c>
      <c r="D33" s="49" t="n"/>
      <c r="E33" s="27" t="inlineStr">
        <is>
          <t>11日</t>
        </is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mergeCells count="1">
    <mergeCell ref="C33:D33"/>
  </mergeCells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7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M17" sqref="M17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8.796875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52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34" t="inlineStr">
        <is>
          <t>オンライン業務</t>
        </is>
      </c>
      <c r="B33" s="53" t="n"/>
      <c r="C33" s="27" t="n">
        <v>1500</v>
      </c>
      <c r="D33" s="27" t="n">
        <v>3</v>
      </c>
      <c r="E33" s="27">
        <f>C33*D33</f>
        <v/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A34" s="54" t="n"/>
      <c r="B34" s="55" t="n"/>
      <c r="C34" s="27" t="n">
        <v>1226</v>
      </c>
      <c r="D34" s="27" t="n">
        <v>2</v>
      </c>
      <c r="E34" s="27">
        <f>C34*D34</f>
        <v/>
      </c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5">
      <c r="A35" s="54" t="n"/>
      <c r="B35" s="55" t="n"/>
      <c r="C35" s="27" t="n">
        <v>1000</v>
      </c>
      <c r="D35" s="27" t="n">
        <v>3</v>
      </c>
      <c r="E35" s="27">
        <f>C35*D35</f>
        <v/>
      </c>
    </row>
    <row r="36" ht="18.6" customHeight="1" thickBot="1">
      <c r="A36" s="54" t="n"/>
      <c r="B36" s="55" t="n"/>
      <c r="C36" s="27" t="n"/>
      <c r="D36" s="27" t="n"/>
      <c r="E36" s="27" t="n"/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A37" s="54" t="n"/>
      <c r="B37" s="55" t="n"/>
      <c r="C37" s="27" t="n"/>
      <c r="D37" s="27" t="n"/>
      <c r="E37" s="27" t="n"/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A38" s="56" t="n"/>
      <c r="B38" s="57" t="n"/>
      <c r="C38" s="33" t="inlineStr">
        <is>
          <t>合計</t>
        </is>
      </c>
      <c r="D38" s="49" t="n"/>
      <c r="E38" s="27">
        <f>SUM(E33:E37)</f>
        <v/>
      </c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mergeCells count="2">
    <mergeCell ref="A33:B38"/>
    <mergeCell ref="C38:D38"/>
  </mergeCells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/>
</worksheet>
</file>

<file path=xl/worksheets/sheet8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L10" sqref="L10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52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52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52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52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9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K12" sqref="K12"/>
    </sheetView>
  </sheetViews>
  <sheetFormatPr baseColWidth="8" defaultRowHeight="18"/>
  <cols>
    <col width="11.296875" bestFit="1" customWidth="1" min="1" max="1"/>
    <col width="5.19921875" bestFit="1" customWidth="1" min="2" max="2"/>
    <col width="6.8984375" customWidth="1" min="3" max="3"/>
    <col width="13.09765625" customWidth="1" min="4" max="4"/>
    <col width="10.59765625" customWidth="1" min="5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7" t="inlineStr">
        <is>
          <t>有休消化</t>
        </is>
      </c>
      <c r="B33" s="27" t="n">
        <v>0</v>
      </c>
      <c r="C33" s="33" t="inlineStr">
        <is>
          <t>残有休日数</t>
        </is>
      </c>
      <c r="D33" s="49" t="n"/>
      <c r="E33" s="27" t="inlineStr">
        <is>
          <t>10日</t>
        </is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>
      <c r="A34" t="inlineStr">
        <is>
          <t>連絡事項</t>
        </is>
      </c>
      <c r="B34" t="inlineStr">
        <is>
          <t>2/11より住所変更のため、交通費往復900円に変更</t>
        </is>
      </c>
      <c r="D34" s="26" t="n"/>
      <c r="E34" s="26" t="n"/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5">
      <c r="D35" s="26" t="n"/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mergeCells count="1">
    <mergeCell ref="C33:D33"/>
  </mergeCells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10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K17" sqref="K17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9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L28" sqref="L28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8.796875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4" t="n"/>
      <c r="C33" t="inlineStr">
        <is>
          <t>2/21交通費700円</t>
        </is>
      </c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A34" s="29" t="n"/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12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zoomScaleNormal="100" workbookViewId="0">
      <selection activeCell="L21" sqref="L21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8.796875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A33" s="24" t="n"/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A34" s="24" t="n"/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xl/worksheets/sheet13.xml><?xml version="1.0" encoding="utf-8"?>
<worksheet xmlns="http://schemas.openxmlformats.org/spreadsheetml/2006/main">
  <sheetPr>
    <tabColor theme="2"/>
    <outlinePr summaryBelow="1" summaryRight="1"/>
    <pageSetUpPr/>
  </sheetPr>
  <dimension ref="A1:P39"/>
  <sheetViews>
    <sheetView tabSelected="1" zoomScaleNormal="100" workbookViewId="0">
      <selection activeCell="K7" sqref="K7"/>
    </sheetView>
  </sheetViews>
  <sheetFormatPr baseColWidth="8" defaultRowHeight="18"/>
  <cols>
    <col width="11.296875" bestFit="1" customWidth="1" min="1" max="1"/>
    <col width="5.19921875" bestFit="1" customWidth="1" min="2" max="2"/>
    <col width="6" bestFit="1" customWidth="1" min="3" max="3"/>
    <col width="9" bestFit="1" customWidth="1" min="4" max="5"/>
    <col width="6" bestFit="1" customWidth="1" min="6" max="6"/>
    <col width="9.19921875" bestFit="1" customWidth="1" min="7" max="7"/>
    <col width="5.19921875" bestFit="1" customWidth="1" style="35" min="8" max="8"/>
    <col width="3.09765625" customWidth="1" style="35" min="9" max="9"/>
    <col width="7.09765625" bestFit="1" customWidth="1" style="7" min="11" max="11"/>
    <col width="8.796875" customWidth="1" style="36" min="13" max="13"/>
    <col width="4.59765625" customWidth="1" min="15" max="15"/>
  </cols>
  <sheetData>
    <row r="1" customFormat="1" s="32">
      <c r="B1" t="inlineStr">
        <is>
          <t>曜日</t>
        </is>
      </c>
      <c r="C1" s="10" t="inlineStr">
        <is>
          <t>出勤</t>
        </is>
      </c>
      <c r="D1" s="10" t="inlineStr">
        <is>
          <t>休憩開始</t>
        </is>
      </c>
      <c r="E1" s="10" t="inlineStr">
        <is>
          <t>休憩終了</t>
        </is>
      </c>
      <c r="F1" s="10" t="inlineStr">
        <is>
          <t>退勤</t>
        </is>
      </c>
      <c r="G1" s="16" t="inlineStr">
        <is>
          <t>賄い</t>
        </is>
      </c>
      <c r="H1" s="37" t="inlineStr">
        <is>
          <t>日数</t>
        </is>
      </c>
      <c r="I1" s="37" t="n"/>
      <c r="J1" s="32" t="inlineStr">
        <is>
          <t>勤務時間</t>
        </is>
      </c>
      <c r="K1" s="7" t="inlineStr">
        <is>
          <t>休憩</t>
        </is>
      </c>
      <c r="L1" s="32" t="inlineStr">
        <is>
          <t>計算時間</t>
        </is>
      </c>
      <c r="M1" s="38" t="inlineStr">
        <is>
          <t>超過時間</t>
        </is>
      </c>
      <c r="N1" s="32" t="inlineStr">
        <is>
          <t>深夜時間</t>
        </is>
      </c>
      <c r="P1" s="32" t="inlineStr">
        <is>
          <t>備考</t>
        </is>
      </c>
    </row>
    <row r="2">
      <c r="A2" s="18" t="n">
        <v>46054</v>
      </c>
      <c r="B2">
        <f>TEXT(A2, "aaa")</f>
        <v/>
      </c>
      <c r="C2" s="39" t="n"/>
      <c r="D2" s="39" t="n"/>
      <c r="E2" s="39" t="n"/>
      <c r="F2" s="39" t="n"/>
      <c r="G2" s="48" t="n"/>
      <c r="H2" s="35">
        <f>IF(J2&gt;0,1,0)</f>
        <v/>
      </c>
      <c r="J2" s="36">
        <f>F2-C2</f>
        <v/>
      </c>
      <c r="K2" s="40">
        <f>IF(J2&gt;TIME(5,59,0),TIME(0,45,0),0)</f>
        <v/>
      </c>
      <c r="L2" s="36">
        <f>J2-K2</f>
        <v/>
      </c>
      <c r="M2" s="36">
        <f>IF(L2&gt;=TIME(8,0,0),L2-TIME(8,0,0),0)</f>
        <v/>
      </c>
      <c r="N2" s="36">
        <f>"5:00"-MIN(C2,"5:00")+MAX((F2&lt;C2)+F2,"22:00")-"22:00"</f>
        <v/>
      </c>
    </row>
    <row r="3">
      <c r="A3" s="18" t="n">
        <v>46055</v>
      </c>
      <c r="B3">
        <f>TEXT(A3, "aaa")</f>
        <v/>
      </c>
      <c r="C3" s="39" t="n"/>
      <c r="D3" s="39" t="n"/>
      <c r="E3" s="39" t="n"/>
      <c r="F3" s="39" t="n"/>
      <c r="G3" s="48" t="n"/>
      <c r="H3" s="35">
        <f>IF(J3&gt;0,1,0)</f>
        <v/>
      </c>
      <c r="J3" s="36">
        <f>F3-C3</f>
        <v/>
      </c>
      <c r="K3" s="40">
        <f>IF(J3&gt;TIME(5,59,0),TIME(0,45,0),0)</f>
        <v/>
      </c>
      <c r="L3" s="36">
        <f>J3-K3</f>
        <v/>
      </c>
      <c r="M3" s="36">
        <f>IF(L3&gt;=TIME(8,0,0),L3-TIME(8,0,0),0)</f>
        <v/>
      </c>
      <c r="N3" s="36">
        <f>"5:00"-MIN(C3,"5:00")+MAX((F3&lt;C3)+F3,"22:00")-"22:00"</f>
        <v/>
      </c>
    </row>
    <row r="4">
      <c r="A4" s="18" t="n">
        <v>46056</v>
      </c>
      <c r="B4">
        <f>TEXT(A4, "aaa")</f>
        <v/>
      </c>
      <c r="C4" s="39" t="n"/>
      <c r="D4" s="39" t="n"/>
      <c r="E4" s="39" t="n"/>
      <c r="F4" s="39" t="n"/>
      <c r="G4" s="48" t="n"/>
      <c r="H4" s="35">
        <f>IF(J4&gt;0,1,0)</f>
        <v/>
      </c>
      <c r="J4" s="36">
        <f>F4-C4</f>
        <v/>
      </c>
      <c r="K4" s="40">
        <f>IF(J4&gt;TIME(5,59,0),TIME(0,45,0),0)</f>
        <v/>
      </c>
      <c r="L4" s="36">
        <f>J4-K4</f>
        <v/>
      </c>
      <c r="M4" s="36">
        <f>IF(L4&gt;=TIME(8,0,0),L4-TIME(8,0,0),0)</f>
        <v/>
      </c>
      <c r="N4" s="36">
        <f>"5:00"-MIN(C4,"5:00")+MAX((F4&lt;C4)+F4,"22:00")-"22:00"</f>
        <v/>
      </c>
    </row>
    <row r="5">
      <c r="A5" s="18" t="n">
        <v>46057</v>
      </c>
      <c r="B5">
        <f>TEXT(A5, "aaa")</f>
        <v/>
      </c>
      <c r="C5" s="12" t="n"/>
      <c r="D5" s="39" t="n"/>
      <c r="E5" s="39" t="n"/>
      <c r="F5" s="39" t="n"/>
      <c r="G5" s="48" t="n"/>
      <c r="H5" s="35">
        <f>IF(J5&gt;0,1,0)</f>
        <v/>
      </c>
      <c r="J5" s="36">
        <f>F5-C5</f>
        <v/>
      </c>
      <c r="K5" s="40">
        <f>IF(J5&gt;TIME(5,59,0),TIME(0,45,0),0)</f>
        <v/>
      </c>
      <c r="L5" s="36">
        <f>J5-K5</f>
        <v/>
      </c>
      <c r="M5" s="36">
        <f>IF(L5&gt;=TIME(8,0,0),L5-TIME(8,0,0),0)</f>
        <v/>
      </c>
      <c r="N5" s="36">
        <f>"5:00"-MIN(C5,"5:00")+MAX((F5&lt;C5)+F5,"22:00")-"22:00"</f>
        <v/>
      </c>
    </row>
    <row r="6">
      <c r="A6" s="18" t="n">
        <v>46058</v>
      </c>
      <c r="B6">
        <f>TEXT(A6, "aaa")</f>
        <v/>
      </c>
      <c r="C6" s="39" t="n"/>
      <c r="D6" s="39" t="n"/>
      <c r="E6" s="39" t="n"/>
      <c r="F6" s="39" t="n"/>
      <c r="G6" s="48" t="n"/>
      <c r="H6" s="35">
        <f>IF(J6&gt;0,1,0)</f>
        <v/>
      </c>
      <c r="J6" s="36">
        <f>F6-C6</f>
        <v/>
      </c>
      <c r="K6" s="40">
        <f>IF(J6&gt;TIME(5,59,0),TIME(0,45,0),0)</f>
        <v/>
      </c>
      <c r="L6" s="36">
        <f>J6-K6</f>
        <v/>
      </c>
      <c r="M6" s="36">
        <f>IF(L6&gt;=TIME(8,0,0),L6-TIME(8,0,0),0)</f>
        <v/>
      </c>
      <c r="N6" s="36">
        <f>"5:00"-MIN(C6,"5:00")+MAX((F6&lt;C6)+F6,"22:00")-"22:00"</f>
        <v/>
      </c>
    </row>
    <row r="7">
      <c r="A7" s="18" t="n">
        <v>46059</v>
      </c>
      <c r="B7">
        <f>TEXT(A7, "aaa")</f>
        <v/>
      </c>
      <c r="C7" s="39" t="n"/>
      <c r="D7" s="39" t="n"/>
      <c r="E7" s="39" t="n"/>
      <c r="F7" s="39" t="n"/>
      <c r="G7" s="48" t="n"/>
      <c r="H7" s="35">
        <f>IF(J7&gt;0,1,0)</f>
        <v/>
      </c>
      <c r="J7" s="36">
        <f>F7-C7</f>
        <v/>
      </c>
      <c r="K7" s="40">
        <f>IF(J7&gt;TIME(5,59,0),TIME(0,45,0),0)</f>
        <v/>
      </c>
      <c r="L7" s="36">
        <f>J7-K7</f>
        <v/>
      </c>
      <c r="M7" s="36">
        <f>IF(L7&gt;=TIME(8,0,0),L7-TIME(8,0,0),0)</f>
        <v/>
      </c>
      <c r="N7" s="36">
        <f>"5:00"-MIN(C7,"5:00")+MAX((F7&lt;C7)+F7,"22:00")-"22:00"</f>
        <v/>
      </c>
    </row>
    <row r="8">
      <c r="A8" s="18" t="n">
        <v>46060</v>
      </c>
      <c r="B8">
        <f>TEXT(A8, "aaa")</f>
        <v/>
      </c>
      <c r="C8" s="39" t="n"/>
      <c r="D8" s="39" t="n"/>
      <c r="E8" s="39" t="n"/>
      <c r="F8" s="39" t="n"/>
      <c r="G8" s="48" t="n"/>
      <c r="H8" s="35">
        <f>IF(J8&gt;0,1,0)</f>
        <v/>
      </c>
      <c r="J8" s="36">
        <f>F8-C8</f>
        <v/>
      </c>
      <c r="K8" s="40">
        <f>IF(J8&gt;TIME(5,59,0),TIME(0,45,0),0)</f>
        <v/>
      </c>
      <c r="L8" s="36">
        <f>J8-K8</f>
        <v/>
      </c>
      <c r="M8" s="36">
        <f>IF(L8&gt;=TIME(8,0,0),L8-TIME(8,0,0),0)</f>
        <v/>
      </c>
      <c r="N8" s="36">
        <f>"5:00"-MIN(C8,"5:00")+MAX((F8&lt;C8)+F8,"22:00")-"22:00"</f>
        <v/>
      </c>
    </row>
    <row r="9">
      <c r="A9" s="18" t="n">
        <v>46061</v>
      </c>
      <c r="B9">
        <f>TEXT(A9, "aaa")</f>
        <v/>
      </c>
      <c r="C9" s="39" t="n"/>
      <c r="D9" s="39" t="n"/>
      <c r="E9" s="39" t="n"/>
      <c r="F9" s="39" t="n"/>
      <c r="G9" s="48" t="n"/>
      <c r="H9" s="35">
        <f>IF(J9&gt;0,1,0)</f>
        <v/>
      </c>
      <c r="J9" s="36">
        <f>F9-C9</f>
        <v/>
      </c>
      <c r="K9" s="40">
        <f>IF(J9&gt;TIME(5,59,0),TIME(0,45,0),0)</f>
        <v/>
      </c>
      <c r="L9" s="36">
        <f>J9-K9</f>
        <v/>
      </c>
      <c r="M9" s="36">
        <f>IF(L9&gt;=TIME(8,0,0),L9-TIME(8,0,0),0)</f>
        <v/>
      </c>
      <c r="N9" s="36">
        <f>"5:00"-MIN(C9,"5:00")+MAX((F9&lt;C9)+F9,"22:00")-"22:00"</f>
        <v/>
      </c>
    </row>
    <row r="10">
      <c r="A10" s="18" t="n">
        <v>46062</v>
      </c>
      <c r="B10">
        <f>TEXT(A10, "aaa")</f>
        <v/>
      </c>
      <c r="C10" s="39" t="n"/>
      <c r="D10" s="39" t="n"/>
      <c r="E10" s="39" t="n"/>
      <c r="F10" s="39" t="n"/>
      <c r="G10" s="48" t="n"/>
      <c r="H10" s="35">
        <f>IF(J10&gt;0,1,0)</f>
        <v/>
      </c>
      <c r="J10" s="36">
        <f>F10-C10</f>
        <v/>
      </c>
      <c r="K10" s="40">
        <f>IF(J10&gt;TIME(5,59,0),TIME(0,45,0),0)</f>
        <v/>
      </c>
      <c r="L10" s="36">
        <f>J10-K10</f>
        <v/>
      </c>
      <c r="M10" s="36">
        <f>IF(L10&gt;=TIME(8,0,0),L10-TIME(8,0,0),0)</f>
        <v/>
      </c>
      <c r="N10" s="36">
        <f>"5:00"-MIN(C10,"5:00")+MAX((F10&lt;C10)+F10,"22:00")-"22:00"</f>
        <v/>
      </c>
    </row>
    <row r="11">
      <c r="A11" s="18" t="n">
        <v>46063</v>
      </c>
      <c r="B11">
        <f>TEXT(A11, "aaa")</f>
        <v/>
      </c>
      <c r="C11" s="39" t="n"/>
      <c r="D11" s="39" t="n"/>
      <c r="E11" s="39" t="n"/>
      <c r="F11" s="39" t="n"/>
      <c r="G11" s="48" t="n"/>
      <c r="H11" s="35">
        <f>IF(J11&gt;0,1,0)</f>
        <v/>
      </c>
      <c r="J11" s="36">
        <f>F11-C11</f>
        <v/>
      </c>
      <c r="K11" s="40">
        <f>IF(J11&gt;TIME(5,59,0),TIME(0,45,0),0)</f>
        <v/>
      </c>
      <c r="L11" s="36">
        <f>J11-K11</f>
        <v/>
      </c>
      <c r="M11" s="36">
        <f>IF(L11&gt;=TIME(8,0,0),L11-TIME(8,0,0),0)</f>
        <v/>
      </c>
      <c r="N11" s="36">
        <f>"5:00"-MIN(C11,"5:00")+MAX((F11&lt;C11)+F11,"22:00")-"22:00"</f>
        <v/>
      </c>
    </row>
    <row r="12">
      <c r="A12" s="18" t="n">
        <v>46064</v>
      </c>
      <c r="B12">
        <f>TEXT(A12, "aaa")</f>
        <v/>
      </c>
      <c r="C12" s="39" t="n"/>
      <c r="D12" s="39" t="n"/>
      <c r="E12" s="39" t="n"/>
      <c r="F12" s="39" t="n"/>
      <c r="G12" s="48" t="n"/>
      <c r="H12" s="35">
        <f>IF(J12&gt;0,1,0)</f>
        <v/>
      </c>
      <c r="J12" s="36">
        <f>F12-C12</f>
        <v/>
      </c>
      <c r="K12" s="40">
        <f>IF(J12&gt;TIME(5,59,0),TIME(0,45,0),0)</f>
        <v/>
      </c>
      <c r="L12" s="36">
        <f>J12-K12</f>
        <v/>
      </c>
      <c r="M12" s="36">
        <f>IF(L12&gt;=TIME(8,0,0),L12-TIME(8,0,0),0)</f>
        <v/>
      </c>
      <c r="N12" s="36">
        <f>"5:00"-MIN(C12,"5:00")+MAX((F12&lt;C12)+F12,"22:00")-"22:00"</f>
        <v/>
      </c>
    </row>
    <row r="13">
      <c r="A13" s="18" t="n">
        <v>46065</v>
      </c>
      <c r="B13">
        <f>TEXT(A13, "aaa")</f>
        <v/>
      </c>
      <c r="C13" s="39" t="n"/>
      <c r="D13" s="39" t="n"/>
      <c r="E13" s="39" t="n"/>
      <c r="F13" s="39" t="n"/>
      <c r="G13" s="48" t="n"/>
      <c r="H13" s="35">
        <f>IF(J13&gt;0,1,0)</f>
        <v/>
      </c>
      <c r="J13" s="36">
        <f>F13-C13</f>
        <v/>
      </c>
      <c r="K13" s="40">
        <f>IF(J13&gt;TIME(5,59,0),TIME(0,45,0),0)</f>
        <v/>
      </c>
      <c r="L13" s="36">
        <f>J13-K13</f>
        <v/>
      </c>
      <c r="M13" s="36">
        <f>IF(L13&gt;=TIME(8,0,0),L13-TIME(8,0,0),0)</f>
        <v/>
      </c>
      <c r="N13" s="36">
        <f>"5:00"-MIN(C13,"5:00")+MAX((F13&lt;C13)+F13,"22:00")-"22:00"</f>
        <v/>
      </c>
    </row>
    <row r="14">
      <c r="A14" s="18" t="n">
        <v>46066</v>
      </c>
      <c r="B14">
        <f>TEXT(A14, "aaa")</f>
        <v/>
      </c>
      <c r="C14" s="39" t="n"/>
      <c r="D14" s="39" t="n"/>
      <c r="E14" s="39" t="n"/>
      <c r="F14" s="39" t="n"/>
      <c r="G14" s="48" t="n"/>
      <c r="H14" s="35">
        <f>IF(J14&gt;0,1,0)</f>
        <v/>
      </c>
      <c r="J14" s="36">
        <f>F14-C14</f>
        <v/>
      </c>
      <c r="K14" s="40">
        <f>IF(J14&gt;TIME(5,59,0),TIME(0,45,0),0)</f>
        <v/>
      </c>
      <c r="L14" s="36">
        <f>J14-K14</f>
        <v/>
      </c>
      <c r="M14" s="36">
        <f>IF(L14&gt;=TIME(8,0,0),L14-TIME(8,0,0),0)</f>
        <v/>
      </c>
      <c r="N14" s="36">
        <f>"5:00"-MIN(C14,"5:00")+MAX((F14&lt;C14)+F14,"22:00")-"22:00"</f>
        <v/>
      </c>
    </row>
    <row r="15">
      <c r="A15" s="18" t="n">
        <v>46067</v>
      </c>
      <c r="B15">
        <f>TEXT(A15, "aaa")</f>
        <v/>
      </c>
      <c r="C15" s="39" t="n"/>
      <c r="D15" s="39" t="n"/>
      <c r="E15" s="39" t="n"/>
      <c r="F15" s="39" t="n"/>
      <c r="G15" s="48" t="n"/>
      <c r="H15" s="35">
        <f>IF(J15&gt;0,1,0)</f>
        <v/>
      </c>
      <c r="J15" s="36">
        <f>F15-C15</f>
        <v/>
      </c>
      <c r="K15" s="40">
        <f>IF(J15&gt;TIME(5,59,0),TIME(0,45,0),0)</f>
        <v/>
      </c>
      <c r="L15" s="36">
        <f>J15-K15</f>
        <v/>
      </c>
      <c r="M15" s="36">
        <f>IF(L15&gt;=TIME(8,0,0),L15-TIME(8,0,0),0)</f>
        <v/>
      </c>
      <c r="N15" s="36">
        <f>"5:00"-MIN(C15,"5:00")+MAX((F15&lt;C15)+F15,"22:00")-"22:00"</f>
        <v/>
      </c>
    </row>
    <row r="16">
      <c r="A16" s="18" t="n">
        <v>46068</v>
      </c>
      <c r="B16">
        <f>TEXT(A16, "aaa")</f>
        <v/>
      </c>
      <c r="C16" s="39" t="n"/>
      <c r="D16" s="39" t="n"/>
      <c r="E16" s="39" t="n"/>
      <c r="F16" s="39" t="n"/>
      <c r="G16" s="48" t="n"/>
      <c r="H16" s="35">
        <f>IF(J16&gt;0,1,0)</f>
        <v/>
      </c>
      <c r="J16" s="36">
        <f>F16-C16</f>
        <v/>
      </c>
      <c r="K16" s="40">
        <f>IF(J16&gt;TIME(5,59,0),TIME(0,45,0),0)</f>
        <v/>
      </c>
      <c r="L16" s="36">
        <f>J16-K16</f>
        <v/>
      </c>
      <c r="M16" s="36">
        <f>IF(L16&gt;=TIME(8,0,0),L16-TIME(8,0,0),0)</f>
        <v/>
      </c>
      <c r="N16" s="36">
        <f>"5:00"-MIN(C16,"5:00")+MAX((F16&lt;C16)+F16,"22:00")-"22:00"</f>
        <v/>
      </c>
    </row>
    <row r="17">
      <c r="A17" s="18" t="n">
        <v>46069</v>
      </c>
      <c r="B17">
        <f>TEXT(A17, "aaa")</f>
        <v/>
      </c>
      <c r="C17" s="39" t="n"/>
      <c r="D17" s="39" t="n"/>
      <c r="E17" s="39" t="n"/>
      <c r="F17" s="39" t="n"/>
      <c r="G17" s="48" t="n"/>
      <c r="H17" s="35">
        <f>IF(J17&gt;0,1,0)</f>
        <v/>
      </c>
      <c r="J17" s="36">
        <f>F17-C17</f>
        <v/>
      </c>
      <c r="K17" s="40">
        <f>IF(J17&gt;TIME(5,59,0),TIME(0,45,0),0)</f>
        <v/>
      </c>
      <c r="L17" s="36">
        <f>J17-K17</f>
        <v/>
      </c>
      <c r="M17" s="36">
        <f>IF(L17&gt;=TIME(8,0,0),L17-TIME(8,0,0),0)</f>
        <v/>
      </c>
      <c r="N17" s="36">
        <f>"5:00"-MIN(C17,"5:00")+MAX((F17&lt;C17)+F17,"22:00")-"22:00"</f>
        <v/>
      </c>
    </row>
    <row r="18">
      <c r="A18" s="18" t="n">
        <v>46070</v>
      </c>
      <c r="B18">
        <f>TEXT(A18, "aaa")</f>
        <v/>
      </c>
      <c r="C18" s="39" t="n"/>
      <c r="D18" s="39" t="n"/>
      <c r="E18" s="39" t="n"/>
      <c r="F18" s="39" t="n"/>
      <c r="G18" s="48" t="n"/>
      <c r="H18" s="35">
        <f>IF(J18&gt;0,1,0)</f>
        <v/>
      </c>
      <c r="J18" s="36">
        <f>F18-C18</f>
        <v/>
      </c>
      <c r="K18" s="40">
        <f>IF(J18&gt;TIME(5,59,0),TIME(0,45,0),0)</f>
        <v/>
      </c>
      <c r="L18" s="36">
        <f>J18-K18</f>
        <v/>
      </c>
      <c r="M18" s="36">
        <f>IF(L18&gt;=TIME(8,0,0),L18-TIME(8,0,0),0)</f>
        <v/>
      </c>
      <c r="N18" s="36">
        <f>"5:00"-MIN(C18,"5:00")+MAX((F18&lt;C18)+F18,"22:00")-"22:00"</f>
        <v/>
      </c>
    </row>
    <row r="19">
      <c r="A19" s="18" t="n">
        <v>46071</v>
      </c>
      <c r="B19">
        <f>TEXT(A19, "aaa")</f>
        <v/>
      </c>
      <c r="C19" s="39" t="n"/>
      <c r="D19" s="39" t="n"/>
      <c r="E19" s="39" t="n"/>
      <c r="F19" s="39" t="n"/>
      <c r="G19" s="48" t="n"/>
      <c r="H19" s="35">
        <f>IF(J19&gt;0,1,0)</f>
        <v/>
      </c>
      <c r="J19" s="36">
        <f>F19-C19</f>
        <v/>
      </c>
      <c r="K19" s="40">
        <f>IF(J19&gt;TIME(5,59,0),TIME(0,45,0),0)</f>
        <v/>
      </c>
      <c r="L19" s="36">
        <f>J19-K19</f>
        <v/>
      </c>
      <c r="M19" s="36">
        <f>IF(L19&gt;=TIME(8,0,0),L19-TIME(8,0,0),0)</f>
        <v/>
      </c>
      <c r="N19" s="36">
        <f>"5:00"-MIN(C19,"5:00")+MAX((F19&lt;C19)+F19,"22:00")-"22:00"</f>
        <v/>
      </c>
    </row>
    <row r="20">
      <c r="A20" s="18" t="n">
        <v>46072</v>
      </c>
      <c r="B20">
        <f>TEXT(A20, "aaa")</f>
        <v/>
      </c>
      <c r="C20" s="39" t="n"/>
      <c r="D20" s="39" t="n"/>
      <c r="E20" s="39" t="n"/>
      <c r="F20" s="39" t="n"/>
      <c r="G20" s="48" t="n"/>
      <c r="H20" s="35">
        <f>IF(J20&gt;0,1,0)</f>
        <v/>
      </c>
      <c r="J20" s="36">
        <f>F20-C20</f>
        <v/>
      </c>
      <c r="K20" s="40">
        <f>IF(J20&gt;TIME(5,59,0),TIME(0,45,0),0)</f>
        <v/>
      </c>
      <c r="L20" s="36">
        <f>J20-K20</f>
        <v/>
      </c>
      <c r="M20" s="36">
        <f>IF(L20&gt;=TIME(8,0,0),L20-TIME(8,0,0),0)</f>
        <v/>
      </c>
      <c r="N20" s="36">
        <f>"5:00"-MIN(C20,"5:00")+MAX((F20&lt;C20)+F20,"22:00")-"22:00"</f>
        <v/>
      </c>
    </row>
    <row r="21">
      <c r="A21" s="18" t="n">
        <v>46073</v>
      </c>
      <c r="B21">
        <f>TEXT(A21, "aaa")</f>
        <v/>
      </c>
      <c r="C21" s="39" t="n"/>
      <c r="D21" s="39" t="n"/>
      <c r="E21" s="39" t="n"/>
      <c r="F21" s="39" t="n"/>
      <c r="G21" s="48" t="n"/>
      <c r="H21" s="35">
        <f>IF(J21&gt;0,1,0)</f>
        <v/>
      </c>
      <c r="J21" s="36">
        <f>F21-C21</f>
        <v/>
      </c>
      <c r="K21" s="40">
        <f>IF(J21&gt;TIME(5,59,0),TIME(0,45,0),0)</f>
        <v/>
      </c>
      <c r="L21" s="36">
        <f>J21-K21</f>
        <v/>
      </c>
      <c r="M21" s="36">
        <f>IF(L21&gt;=TIME(8,0,0),L21-TIME(8,0,0),0)</f>
        <v/>
      </c>
      <c r="N21" s="36">
        <f>"5:00"-MIN(C21,"5:00")+MAX((F21&lt;C21)+F21,"22:00")-"22:00"</f>
        <v/>
      </c>
    </row>
    <row r="22">
      <c r="A22" s="18" t="n">
        <v>46074</v>
      </c>
      <c r="B22">
        <f>TEXT(A22, "aaa")</f>
        <v/>
      </c>
      <c r="C22" s="39" t="n"/>
      <c r="D22" s="39" t="n"/>
      <c r="E22" s="39" t="n"/>
      <c r="F22" s="39" t="n"/>
      <c r="G22" s="48" t="n"/>
      <c r="H22" s="35">
        <f>IF(J22&gt;0,1,0)</f>
        <v/>
      </c>
      <c r="J22" s="36">
        <f>F22-C22</f>
        <v/>
      </c>
      <c r="K22" s="40">
        <f>IF(J22&gt;TIME(5,59,0),TIME(0,45,0),0)</f>
        <v/>
      </c>
      <c r="L22" s="36">
        <f>J22-K22</f>
        <v/>
      </c>
      <c r="M22" s="36">
        <f>IF(L22&gt;=TIME(8,0,0),L22-TIME(8,0,0),0)</f>
        <v/>
      </c>
      <c r="N22" s="36">
        <f>"5:00"-MIN(C22,"5:00")+MAX((F22&lt;C22)+F22,"22:00")-"22:00"</f>
        <v/>
      </c>
    </row>
    <row r="23">
      <c r="A23" s="18" t="n">
        <v>46075</v>
      </c>
      <c r="B23">
        <f>TEXT(A23, "aaa")</f>
        <v/>
      </c>
      <c r="C23" s="39" t="n"/>
      <c r="D23" s="39" t="n"/>
      <c r="E23" s="39" t="n"/>
      <c r="F23" s="39" t="n"/>
      <c r="G23" s="48" t="n"/>
      <c r="H23" s="35">
        <f>IF(J23&gt;0,1,0)</f>
        <v/>
      </c>
      <c r="J23" s="36">
        <f>F23-C23</f>
        <v/>
      </c>
      <c r="K23" s="40">
        <f>IF(J23&gt;TIME(5,59,0),TIME(0,45,0),0)</f>
        <v/>
      </c>
      <c r="L23" s="36">
        <f>J23-K23</f>
        <v/>
      </c>
      <c r="M23" s="36">
        <f>IF(L23&gt;=TIME(8,0,0),L23-TIME(8,0,0),0)</f>
        <v/>
      </c>
      <c r="N23" s="36">
        <f>"5:00"-MIN(C23,"5:00")+MAX((F23&lt;C23)+F23,"22:00")-"22:00"</f>
        <v/>
      </c>
    </row>
    <row r="24">
      <c r="A24" s="18" t="n">
        <v>46076</v>
      </c>
      <c r="B24">
        <f>TEXT(A24, "aaa")</f>
        <v/>
      </c>
      <c r="C24" s="39" t="n"/>
      <c r="D24" s="39" t="n"/>
      <c r="E24" s="39" t="n"/>
      <c r="F24" s="39" t="n"/>
      <c r="G24" s="48" t="n"/>
      <c r="H24" s="35">
        <f>IF(J24&gt;0,1,0)</f>
        <v/>
      </c>
      <c r="J24" s="36">
        <f>F24-C24</f>
        <v/>
      </c>
      <c r="K24" s="40">
        <f>IF(J24&gt;TIME(5,59,0),TIME(0,45,0),0)</f>
        <v/>
      </c>
      <c r="L24" s="36">
        <f>J24-K24</f>
        <v/>
      </c>
      <c r="M24" s="36">
        <f>IF(L24&gt;=TIME(8,0,0),L24-TIME(8,0,0),0)</f>
        <v/>
      </c>
      <c r="N24" s="36">
        <f>"5:00"-MIN(C24,"5:00")+MAX((F24&lt;C24)+F24,"22:00")-"22:00"</f>
        <v/>
      </c>
    </row>
    <row r="25">
      <c r="A25" s="18" t="n">
        <v>46077</v>
      </c>
      <c r="B25">
        <f>TEXT(A25, "aaa")</f>
        <v/>
      </c>
      <c r="C25" s="39" t="n"/>
      <c r="D25" s="39" t="n"/>
      <c r="E25" s="39" t="n"/>
      <c r="F25" s="39" t="n"/>
      <c r="G25" s="48" t="n"/>
      <c r="H25" s="35">
        <f>IF(J25&gt;0,1,0)</f>
        <v/>
      </c>
      <c r="J25" s="36">
        <f>F25-C25</f>
        <v/>
      </c>
      <c r="K25" s="40">
        <f>IF(J25&gt;TIME(5,59,0),TIME(0,45,0),0)</f>
        <v/>
      </c>
      <c r="L25" s="36">
        <f>J25-K25</f>
        <v/>
      </c>
      <c r="M25" s="36">
        <f>IF(L25&gt;=TIME(8,0,0),L25-TIME(8,0,0),0)</f>
        <v/>
      </c>
      <c r="N25" s="36">
        <f>"5:00"-MIN(C25,"5:00")+MAX((F25&lt;C25)+F25,"22:00")-"22:00"</f>
        <v/>
      </c>
    </row>
    <row r="26">
      <c r="A26" s="18" t="n">
        <v>46078</v>
      </c>
      <c r="B26">
        <f>TEXT(A26, "aaa")</f>
        <v/>
      </c>
      <c r="C26" s="39" t="n"/>
      <c r="D26" s="39" t="n"/>
      <c r="E26" s="39" t="n"/>
      <c r="F26" s="39" t="n"/>
      <c r="G26" s="48" t="n"/>
      <c r="H26" s="35">
        <f>IF(J26&gt;0,1,0)</f>
        <v/>
      </c>
      <c r="J26" s="36">
        <f>F26-C26</f>
        <v/>
      </c>
      <c r="K26" s="40">
        <f>IF(J26&gt;TIME(5,59,0),TIME(0,45,0),0)</f>
        <v/>
      </c>
      <c r="L26" s="36">
        <f>J26-K26</f>
        <v/>
      </c>
      <c r="M26" s="36">
        <f>IF(L26&gt;=TIME(8,0,0),L26-TIME(8,0,0),0)</f>
        <v/>
      </c>
      <c r="N26" s="36">
        <f>"5:00"-MIN(C26,"5:00")+MAX((F26&lt;C26)+F26,"22:00")-"22:00"</f>
        <v/>
      </c>
    </row>
    <row r="27">
      <c r="A27" s="18" t="n">
        <v>46079</v>
      </c>
      <c r="B27">
        <f>TEXT(A27, "aaa")</f>
        <v/>
      </c>
      <c r="C27" s="39" t="n"/>
      <c r="D27" s="39" t="n"/>
      <c r="E27" s="39" t="n"/>
      <c r="F27" s="39" t="n"/>
      <c r="G27" s="48" t="n"/>
      <c r="H27" s="35">
        <f>IF(J27&gt;0,1,0)</f>
        <v/>
      </c>
      <c r="J27" s="36">
        <f>F27-C27</f>
        <v/>
      </c>
      <c r="K27" s="40">
        <f>IF(J27&gt;TIME(5,59,0),TIME(0,45,0),0)</f>
        <v/>
      </c>
      <c r="L27" s="36">
        <f>J27-K27</f>
        <v/>
      </c>
      <c r="M27" s="36">
        <f>IF(L27&gt;=TIME(8,0,0),L27-TIME(8,0,0),0)</f>
        <v/>
      </c>
      <c r="N27" s="36">
        <f>"5:00"-MIN(C27,"5:00")+MAX((F27&lt;C27)+F27,"22:00")-"22:00"</f>
        <v/>
      </c>
    </row>
    <row r="28">
      <c r="A28" s="18" t="n">
        <v>46080</v>
      </c>
      <c r="B28">
        <f>TEXT(A28, "aaa")</f>
        <v/>
      </c>
      <c r="C28" s="39" t="n"/>
      <c r="D28" s="39" t="n"/>
      <c r="E28" s="39" t="n"/>
      <c r="F28" s="39" t="n"/>
      <c r="G28" s="48" t="n"/>
      <c r="H28" s="35">
        <f>IF(J28&gt;0,1,0)</f>
        <v/>
      </c>
      <c r="J28" s="36">
        <f>F28-C28</f>
        <v/>
      </c>
      <c r="K28" s="40">
        <f>IF(J28&gt;TIME(5,59,0),TIME(0,45,0),0)</f>
        <v/>
      </c>
      <c r="L28" s="36">
        <f>J28-K28</f>
        <v/>
      </c>
      <c r="M28" s="36">
        <f>IF(L28&gt;=TIME(8,0,0),L28-TIME(8,0,0),0)</f>
        <v/>
      </c>
      <c r="N28" s="36">
        <f>"5:00"-MIN(C28,"5:00")+MAX((F28&lt;C28)+F28,"22:00")-"22:00"</f>
        <v/>
      </c>
    </row>
    <row r="29">
      <c r="A29" s="18" t="n">
        <v>46081</v>
      </c>
      <c r="B29">
        <f>TEXT(A29, "aaa")</f>
        <v/>
      </c>
      <c r="C29" s="39" t="n"/>
      <c r="D29" s="39" t="n"/>
      <c r="E29" s="39" t="n"/>
      <c r="F29" s="39" t="n"/>
      <c r="G29" s="48" t="n"/>
      <c r="H29" s="35">
        <f>IF(J29&gt;0,1,0)</f>
        <v/>
      </c>
      <c r="J29" s="36">
        <f>F29-C29</f>
        <v/>
      </c>
      <c r="K29" s="40">
        <f>IF(J29&gt;TIME(5,59,0),TIME(0,45,0),0)</f>
        <v/>
      </c>
      <c r="L29" s="36">
        <f>J29-K29</f>
        <v/>
      </c>
      <c r="M29" s="36">
        <f>IF(L29&gt;=TIME(8,0,0),L29-TIME(8,0,0),0)</f>
        <v/>
      </c>
      <c r="N29" s="36">
        <f>"5:00"-MIN(C29,"5:00")+MAX((F29&lt;C29)+F29,"22:00")-"22:00"</f>
        <v/>
      </c>
    </row>
    <row r="30">
      <c r="A30" s="18" t="n"/>
      <c r="B30">
        <f>TEXT(A30, "aaa")</f>
        <v/>
      </c>
      <c r="C30" s="39" t="n"/>
      <c r="D30" s="39" t="n"/>
      <c r="E30" s="39" t="n"/>
      <c r="F30" s="39" t="n"/>
      <c r="G30" s="48" t="n"/>
      <c r="H30" s="35">
        <f>IF(J30&gt;0,1,0)</f>
        <v/>
      </c>
      <c r="J30" s="36">
        <f>F30-C30</f>
        <v/>
      </c>
      <c r="K30" s="40">
        <f>IF(J30&gt;TIME(5,59,0),TIME(0,45,0),0)</f>
        <v/>
      </c>
      <c r="L30" s="36">
        <f>J30-K30</f>
        <v/>
      </c>
      <c r="M30" s="36">
        <f>IF(L30&gt;=TIME(8,0,0),L30-TIME(8,0,0),0)</f>
        <v/>
      </c>
      <c r="N30" s="36">
        <f>"5:00"-MIN(C30,"5:00")+MAX((F30&lt;C30)+F30,"22:00")-"22:00"</f>
        <v/>
      </c>
    </row>
    <row r="31">
      <c r="A31" s="18" t="n"/>
      <c r="B31">
        <f>TEXT(A31, "aaa")</f>
        <v/>
      </c>
      <c r="C31" s="39" t="n"/>
      <c r="D31" s="39" t="n"/>
      <c r="E31" s="39" t="n"/>
      <c r="F31" s="39" t="n"/>
      <c r="G31" s="48" t="n"/>
      <c r="H31" s="35">
        <f>IF(J31&gt;0,1,0)</f>
        <v/>
      </c>
      <c r="J31" s="36">
        <f>F31-C31</f>
        <v/>
      </c>
      <c r="K31" s="40">
        <f>IF(J31&gt;TIME(5,59,0),TIME(0,45,0),0)</f>
        <v/>
      </c>
      <c r="L31" s="36">
        <f>J31-K31</f>
        <v/>
      </c>
      <c r="M31" s="36">
        <f>IF(L31&gt;=TIME(8,0,0),L31-TIME(8,0,0),0)</f>
        <v/>
      </c>
      <c r="N31" s="36">
        <f>"5:00"-MIN(C31,"5:00")+MAX((F31&lt;C31)+F31,"22:00")-"22:00"</f>
        <v/>
      </c>
    </row>
    <row r="32">
      <c r="A32" s="18" t="n"/>
      <c r="B32">
        <f>TEXT(A32, "aaa")</f>
        <v/>
      </c>
      <c r="C32" s="39" t="n"/>
      <c r="D32" s="39" t="n"/>
      <c r="E32" s="39" t="n"/>
      <c r="F32" s="39" t="n"/>
      <c r="G32" s="48" t="n"/>
      <c r="H32" s="35">
        <f>IF(J32&gt;0,1,0)</f>
        <v/>
      </c>
      <c r="J32" s="36">
        <f>F32-C32</f>
        <v/>
      </c>
      <c r="K32" s="40">
        <f>IF(J32&gt;TIME(5,59,0),TIME(0,45,0),0)</f>
        <v/>
      </c>
      <c r="L32" s="36">
        <f>J32-K32</f>
        <v/>
      </c>
      <c r="M32" s="36">
        <f>IF(L32&gt;=TIME(8,0,0),L32-TIME(8,0,0),0)</f>
        <v/>
      </c>
      <c r="N32" s="36">
        <f>"5:00"-MIN(C32,"5:00")+MAX((F32&lt;C32)+F32,"22:00")-"22:00"</f>
        <v/>
      </c>
    </row>
    <row r="33" ht="18.6" customHeight="1" thickBot="1">
      <c r="G33" t="inlineStr">
        <is>
          <t>回数</t>
        </is>
      </c>
      <c r="H33" s="35" t="inlineStr">
        <is>
          <t>日数</t>
        </is>
      </c>
      <c r="J33" s="36" t="inlineStr">
        <is>
          <t>時間</t>
        </is>
      </c>
      <c r="K33" s="40" t="n"/>
      <c r="L33" s="36" t="inlineStr">
        <is>
          <t>勤務時間</t>
        </is>
      </c>
      <c r="M33" s="36" t="inlineStr">
        <is>
          <t>8時間超</t>
        </is>
      </c>
      <c r="N33" s="36" t="inlineStr">
        <is>
          <t>深夜時間</t>
        </is>
      </c>
    </row>
    <row r="34" ht="18.6" customHeight="1" thickBot="1">
      <c r="G34" s="51">
        <f>SUM(G2:G32)</f>
        <v/>
      </c>
      <c r="H34" s="42">
        <f>SUM(H2:H32)</f>
        <v/>
      </c>
      <c r="I34" s="43" t="n"/>
      <c r="J34" s="44">
        <f>SUM(J2:J32)</f>
        <v/>
      </c>
      <c r="K34" s="44">
        <f>SUM(K2:K32)</f>
        <v/>
      </c>
      <c r="L34" s="45">
        <f>SUM(L2:L32)</f>
        <v/>
      </c>
      <c r="M34" s="50">
        <f>SUM(M2:M32)</f>
        <v/>
      </c>
      <c r="N34" s="50">
        <f>SUM(N2:N32)</f>
        <v/>
      </c>
    </row>
    <row r="36" ht="18.6" customHeight="1" thickBot="1">
      <c r="L36" s="44">
        <f>L34*12/52</f>
        <v/>
      </c>
      <c r="M36" s="36" t="inlineStr">
        <is>
          <t>/週</t>
        </is>
      </c>
      <c r="N36" t="inlineStr">
        <is>
          <t>判定</t>
        </is>
      </c>
    </row>
    <row r="37" ht="18.6" customHeight="1" thickBot="1">
      <c r="F37" t="inlineStr">
        <is>
          <t>賄い</t>
        </is>
      </c>
      <c r="G37" s="47">
        <f>G34*300</f>
        <v/>
      </c>
      <c r="N37" t="inlineStr">
        <is>
          <t>雇用保険：週20時間以上＋31日以上見込み ⇒ 加入</t>
        </is>
      </c>
    </row>
    <row r="38">
      <c r="N38" t="inlineStr">
        <is>
          <t>社会保険（健康保険・厚生年金）：
3/4ルール（週30時間以上 or 週5日以上）に該当 ⇒ 加入</t>
        </is>
      </c>
    </row>
    <row r="39">
      <c r="N39" t="inlineStr">
        <is>
          <t>有給休暇：週30時間以上なら → 正社員と同じ表（初回10日）</t>
        </is>
      </c>
    </row>
  </sheetData>
  <autoFilter ref="A1:N34"/>
  <conditionalFormatting sqref="A2:B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Tetsuya Fujimoto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2026-06-02T07:11:04Z</dcterms:modified>
  <cp:lastModifiedBy>ちひろ 伊藤</cp:lastModifiedBy>
</cp:coreProperties>
</file>