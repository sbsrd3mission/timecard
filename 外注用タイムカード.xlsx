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48" firstSheet="0" activeTab="1" autoFilterDateGrouping="1"/>
  </bookViews>
  <sheets>
    <sheet xmlns:r="http://schemas.openxmlformats.org/officeDocument/2006/relationships" name="祝日" sheetId="1" state="visible" r:id="rId1"/>
    <sheet xmlns:r="http://schemas.openxmlformats.org/officeDocument/2006/relationships" name="氏名入力" sheetId="2" state="visible" r:id="rId2"/>
  </sheets>
  <definedNames>
    <definedName name="_xlnm._FilterDatabase" localSheetId="1" hidden="1">'氏名入力'!$A$1:$O$34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[h]:mm"/>
    <numFmt numFmtId="166" formatCode="0_);[Red]\(0\)"/>
    <numFmt numFmtId="167" formatCode="#,##0_ "/>
    <numFmt numFmtId="168" formatCode="0.00_);[Red]\(0.00\)"/>
  </numFmts>
  <fonts count="10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Yu Gothic"/>
      <charset val="128"/>
      <family val="3"/>
      <b val="1"/>
      <color theme="1"/>
      <sz val="11"/>
      <scheme val="minor"/>
    </font>
    <font>
      <name val="Yu Gothic"/>
      <charset val="128"/>
      <family val="3"/>
      <color theme="4"/>
      <sz val="11"/>
      <scheme val="minor"/>
    </font>
    <font>
      <name val="Yu Gothic"/>
      <charset val="128"/>
      <family val="3"/>
      <b val="1"/>
      <color theme="4"/>
      <sz val="11"/>
      <scheme val="minor"/>
    </font>
    <font>
      <name val="Yu Gothic"/>
      <charset val="128"/>
      <family val="3"/>
      <color rgb="FFFF0000"/>
      <sz val="11"/>
      <scheme val="minor"/>
    </font>
    <font>
      <name val="Yu Gothic"/>
      <charset val="128"/>
      <family val="3"/>
      <b val="1"/>
      <color rgb="FFFF0000"/>
      <sz val="11"/>
      <scheme val="minor"/>
    </font>
    <font>
      <name val="Yu Gothic"/>
      <charset val="128"/>
      <family val="3"/>
      <color theme="1"/>
      <sz val="11"/>
      <scheme val="minor"/>
    </font>
    <font>
      <name val="Yu Gothic"/>
      <charset val="128"/>
      <family val="3"/>
      <color theme="1"/>
      <sz val="9"/>
      <scheme val="minor"/>
    </font>
    <font>
      <name val="Yu Gothic"/>
      <charset val="128"/>
      <family val="3"/>
      <b val="1"/>
      <color theme="1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6" fontId="2" fillId="0" borderId="1" pivotButton="0" quotePrefix="0" xfId="0"/>
    <xf numFmtId="0" fontId="0" fillId="2" borderId="0" applyAlignment="1" pivotButton="0" quotePrefix="0" xfId="0">
      <alignment horizontal="center"/>
    </xf>
    <xf numFmtId="164" fontId="0" fillId="2" borderId="0" pivotButton="0" quotePrefix="0" xfId="0"/>
    <xf numFmtId="20" fontId="0" fillId="2" borderId="0" pivotButton="0" quotePrefix="0" xfId="0"/>
    <xf numFmtId="165" fontId="2" fillId="0" borderId="1" pivotButton="0" quotePrefix="0" xfId="0"/>
    <xf numFmtId="167" fontId="2" fillId="0" borderId="1" pivotButton="0" quotePrefix="0" xfId="0"/>
    <xf numFmtId="166" fontId="2" fillId="0" borderId="0" pivotButton="0" quotePrefix="0" xfId="0"/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0" borderId="0" pivotButton="0" quotePrefix="0" xfId="0"/>
    <xf numFmtId="14" fontId="0" fillId="5" borderId="0" pivotButton="0" quotePrefix="0" xfId="0"/>
    <xf numFmtId="0" fontId="0" fillId="5" borderId="0" pivotButton="0" quotePrefix="0" xfId="0"/>
    <xf numFmtId="0" fontId="3" fillId="4" borderId="3" applyAlignment="1" pivotButton="0" quotePrefix="0" xfId="0">
      <alignment horizontal="right"/>
    </xf>
    <xf numFmtId="0" fontId="5" fillId="3" borderId="5" applyAlignment="1" pivotButton="0" quotePrefix="0" xfId="0">
      <alignment horizontal="right"/>
    </xf>
    <xf numFmtId="165" fontId="4" fillId="4" borderId="4" pivotButton="0" quotePrefix="0" xfId="0"/>
    <xf numFmtId="165" fontId="6" fillId="3" borderId="6" pivotButton="0" quotePrefix="0" xfId="0"/>
    <xf numFmtId="166" fontId="7" fillId="0" borderId="0" pivotButton="0" quotePrefix="0" xfId="0"/>
    <xf numFmtId="0" fontId="8" fillId="0" borderId="0" applyAlignment="1" pivotButton="0" quotePrefix="0" xfId="0">
      <alignment horizontal="right"/>
    </xf>
    <xf numFmtId="168" fontId="8" fillId="0" borderId="0" pivotButton="0" quotePrefix="0" xfId="0"/>
    <xf numFmtId="165" fontId="7" fillId="0" borderId="2" pivotButton="0" quotePrefix="0" xfId="0"/>
    <xf numFmtId="165" fontId="3" fillId="4" borderId="4" pivotButton="0" quotePrefix="0" xfId="0"/>
    <xf numFmtId="165" fontId="5" fillId="3" borderId="6" pivotButton="0" quotePrefix="0" xfId="0"/>
    <xf numFmtId="168" fontId="9" fillId="0" borderId="0" pivotButton="0" quotePrefix="0" xfId="0"/>
    <xf numFmtId="167" fontId="0" fillId="0" borderId="1" pivotButton="0" quotePrefix="0" xfId="0"/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2" borderId="0" pivotButton="0" quotePrefix="0" xfId="0"/>
    <xf numFmtId="164" fontId="0" fillId="0" borderId="0" applyAlignment="1" pivotButton="0" quotePrefix="0" xfId="0">
      <alignment horizontal="right"/>
    </xf>
    <xf numFmtId="167" fontId="2" fillId="0" borderId="1" pivotButton="0" quotePrefix="0" xfId="0"/>
    <xf numFmtId="166" fontId="7" fillId="0" borderId="0" pivotButton="0" quotePrefix="0" xfId="0"/>
    <xf numFmtId="166" fontId="2" fillId="0" borderId="1" pivotButton="0" quotePrefix="0" xfId="0"/>
    <xf numFmtId="166" fontId="2" fillId="0" borderId="0" pivotButton="0" quotePrefix="0" xfId="0"/>
    <xf numFmtId="165" fontId="0" fillId="0" borderId="0" pivotButton="0" quotePrefix="0" xfId="0"/>
    <xf numFmtId="165" fontId="2" fillId="0" borderId="1" pivotButton="0" quotePrefix="0" xfId="0"/>
    <xf numFmtId="165" fontId="7" fillId="0" borderId="2" pivotButton="0" quotePrefix="0" xfId="0"/>
    <xf numFmtId="165" fontId="3" fillId="4" borderId="4" pivotButton="0" quotePrefix="0" xfId="0"/>
    <xf numFmtId="165" fontId="4" fillId="4" borderId="4" pivotButton="0" quotePrefix="0" xfId="0"/>
    <xf numFmtId="165" fontId="5" fillId="3" borderId="6" pivotButton="0" quotePrefix="0" xfId="0"/>
    <xf numFmtId="165" fontId="6" fillId="3" borderId="6" pivotButton="0" quotePrefix="0" xfId="0"/>
    <xf numFmtId="167" fontId="0" fillId="0" borderId="1" pivotButton="0" quotePrefix="0" xfId="0"/>
    <xf numFmtId="168" fontId="9" fillId="0" borderId="0" pivotButton="0" quotePrefix="0" xfId="0"/>
    <xf numFmtId="168" fontId="8" fillId="0" borderId="0" pivotButton="0" quotePrefix="0" xfId="0"/>
    <xf numFmtId="168" fontId="0" fillId="0" borderId="0" pivotButton="0" quotePrefix="0" xfId="0"/>
  </cellXfs>
  <cellStyles count="1">
    <cellStyle name="標準" xfId="0" builtinId="0"/>
  </cellStyles>
  <dxfs count="6">
    <dxf>
      <fill>
        <patternFill>
          <bgColor theme="4" tint="0.7999816888943144"/>
        </patternFill>
      </fill>
    </dxf>
    <dxf>
      <font>
        <color theme="0"/>
      </font>
      <fill>
        <patternFill>
          <bgColor theme="4" tint="0.7999816888943144"/>
        </patternFill>
      </fill>
    </dxf>
    <dxf>
      <font>
        <color theme="1"/>
      </font>
      <fill>
        <patternFill>
          <bgColor theme="4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  <dxf>
      <font>
        <color theme="4"/>
      </font>
      <fill>
        <patternFill>
          <bgColor theme="4" tint="0.7999816888943144"/>
        </patternFill>
      </fill>
    </dxf>
    <dxf>
      <font>
        <color rgb="FFFF0000"/>
      </font>
      <fill>
        <patternFill>
          <bgColor theme="5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J32"/>
  <sheetViews>
    <sheetView workbookViewId="0">
      <selection activeCell="D15" sqref="D15"/>
    </sheetView>
  </sheetViews>
  <sheetFormatPr baseColWidth="8" defaultRowHeight="18"/>
  <cols>
    <col width="11.3984375" bestFit="1" customWidth="1" min="1" max="1"/>
  </cols>
  <sheetData>
    <row r="1">
      <c r="A1" s="19" t="n">
        <v>45658</v>
      </c>
      <c r="B1" s="20" t="inlineStr">
        <is>
          <t>元日</t>
        </is>
      </c>
    </row>
    <row r="2">
      <c r="A2" s="19" t="n">
        <v>45670</v>
      </c>
      <c r="B2" s="20" t="inlineStr">
        <is>
          <t>成人の日</t>
        </is>
      </c>
    </row>
    <row r="3">
      <c r="A3" s="19" t="n">
        <v>45699</v>
      </c>
      <c r="B3" s="20" t="inlineStr">
        <is>
          <t>建国記念の日</t>
        </is>
      </c>
    </row>
    <row r="4">
      <c r="A4" s="19" t="n">
        <v>45711</v>
      </c>
      <c r="B4" s="20" t="inlineStr">
        <is>
          <t>天皇誕生日</t>
        </is>
      </c>
    </row>
    <row r="5">
      <c r="A5" s="19" t="n">
        <v>45712</v>
      </c>
      <c r="B5" s="20" t="inlineStr">
        <is>
          <t>振替休日</t>
        </is>
      </c>
    </row>
    <row r="6">
      <c r="A6" s="19" t="n">
        <v>45736</v>
      </c>
      <c r="B6" s="20" t="inlineStr">
        <is>
          <t>春分の日</t>
        </is>
      </c>
    </row>
    <row r="7">
      <c r="A7" s="19" t="n">
        <v>45776</v>
      </c>
      <c r="B7" s="20" t="inlineStr">
        <is>
          <t>昭和の日</t>
        </is>
      </c>
    </row>
    <row r="8">
      <c r="A8" s="19" t="n">
        <v>45780</v>
      </c>
      <c r="B8" s="20" t="inlineStr">
        <is>
          <t>憲法記念日</t>
        </is>
      </c>
    </row>
    <row r="9">
      <c r="A9" s="19" t="n">
        <v>45781</v>
      </c>
      <c r="B9" s="20" t="inlineStr">
        <is>
          <t>みどりの日</t>
        </is>
      </c>
    </row>
    <row r="10">
      <c r="A10" s="19" t="n">
        <v>45782</v>
      </c>
      <c r="B10" s="20" t="inlineStr">
        <is>
          <t>こどもの日</t>
        </is>
      </c>
    </row>
    <row r="11">
      <c r="A11" s="19" t="n">
        <v>45783</v>
      </c>
      <c r="B11" s="20" t="inlineStr">
        <is>
          <t>振替休日</t>
        </is>
      </c>
    </row>
    <row r="12">
      <c r="A12" s="18" t="n">
        <v>45859</v>
      </c>
      <c r="B12" t="inlineStr">
        <is>
          <t>海の日</t>
        </is>
      </c>
    </row>
    <row r="13">
      <c r="A13" s="18" t="n">
        <v>45880</v>
      </c>
      <c r="B13" t="inlineStr">
        <is>
          <t>山の日</t>
        </is>
      </c>
    </row>
    <row r="14">
      <c r="A14" s="18" t="n">
        <v>45915</v>
      </c>
      <c r="B14" t="inlineStr">
        <is>
          <t>敬老の日</t>
        </is>
      </c>
    </row>
    <row r="15">
      <c r="A15" s="18" t="n">
        <v>45923</v>
      </c>
      <c r="B15" t="inlineStr">
        <is>
          <t>秋分の日</t>
        </is>
      </c>
    </row>
    <row r="16">
      <c r="A16" s="18" t="n">
        <v>45943</v>
      </c>
      <c r="B16" t="inlineStr">
        <is>
          <t>スポーツの日</t>
        </is>
      </c>
    </row>
    <row r="17">
      <c r="A17" s="18" t="n">
        <v>45964</v>
      </c>
      <c r="B17" t="inlineStr">
        <is>
          <t>文化の日</t>
        </is>
      </c>
    </row>
    <row r="18">
      <c r="A18" s="18" t="n">
        <v>45984</v>
      </c>
      <c r="B18" t="inlineStr">
        <is>
          <t>勤労感謝の日</t>
        </is>
      </c>
    </row>
    <row r="19">
      <c r="A19" s="18" t="n">
        <v>45985</v>
      </c>
      <c r="B19" t="inlineStr">
        <is>
          <t>振替休日</t>
        </is>
      </c>
    </row>
    <row r="20"/>
    <row r="21"/>
    <row r="22"/>
    <row r="23"/>
    <row r="24"/>
    <row r="25"/>
    <row r="26"/>
    <row r="27"/>
    <row r="28"/>
    <row r="29"/>
    <row r="30"/>
    <row r="31"/>
    <row r="3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Q41"/>
  <sheetViews>
    <sheetView tabSelected="1" topLeftCell="A10" zoomScale="76" zoomScaleNormal="100" workbookViewId="0">
      <selection activeCell="H40" sqref="H40"/>
    </sheetView>
  </sheetViews>
  <sheetFormatPr baseColWidth="8" defaultRowHeight="18"/>
  <cols>
    <col width="10.8984375" bestFit="1" customWidth="1" min="1" max="1"/>
    <col width="5.09765625" bestFit="1" customWidth="1" min="2" max="2"/>
    <col width="8.09765625" customWidth="1" min="3" max="3"/>
    <col width="6" bestFit="1" customWidth="1" min="4" max="4"/>
    <col width="8.8984375" bestFit="1" customWidth="1" min="5" max="6"/>
    <col width="6" bestFit="1" customWidth="1" min="7" max="7"/>
    <col width="6.3984375" customWidth="1" min="8" max="8"/>
    <col width="5.09765625" bestFit="1" customWidth="1" style="34" min="9" max="9"/>
    <col width="3.09765625" customWidth="1" style="34" min="10" max="10"/>
    <col width="7.09765625" bestFit="1" customWidth="1" style="7" min="12" max="12"/>
    <col width="10" bestFit="1" customWidth="1" min="13" max="13"/>
    <col width="9.09765625" bestFit="1" customWidth="1" style="35" min="14" max="14"/>
    <col width="9.09765625" bestFit="1" customWidth="1" min="15" max="15"/>
    <col width="4.5" customWidth="1" min="16" max="16"/>
  </cols>
  <sheetData>
    <row r="1" customFormat="1" s="4">
      <c r="B1" t="inlineStr">
        <is>
          <t>曜日</t>
        </is>
      </c>
      <c r="C1" t="inlineStr">
        <is>
          <t>土日祝</t>
        </is>
      </c>
      <c r="D1" s="10" t="inlineStr">
        <is>
          <t>出勤</t>
        </is>
      </c>
      <c r="E1" s="10" t="inlineStr">
        <is>
          <t>休憩開始</t>
        </is>
      </c>
      <c r="F1" s="10" t="inlineStr">
        <is>
          <t>休憩終了</t>
        </is>
      </c>
      <c r="G1" s="10" t="inlineStr">
        <is>
          <t>退勤</t>
        </is>
      </c>
      <c r="H1" s="16" t="inlineStr">
        <is>
          <t>賄い</t>
        </is>
      </c>
      <c r="I1" s="36" t="inlineStr">
        <is>
          <t>日数</t>
        </is>
      </c>
      <c r="J1" s="36" t="n"/>
      <c r="K1" s="4" t="inlineStr">
        <is>
          <t>勤務時間</t>
        </is>
      </c>
      <c r="L1" s="7" t="inlineStr">
        <is>
          <t>休憩</t>
        </is>
      </c>
      <c r="M1" s="4" t="inlineStr">
        <is>
          <t>計算時間</t>
        </is>
      </c>
      <c r="N1" s="37" t="inlineStr">
        <is>
          <t>超過時間</t>
        </is>
      </c>
      <c r="O1" s="4" t="inlineStr">
        <is>
          <t>深夜時間</t>
        </is>
      </c>
      <c r="Q1" s="4" t="inlineStr">
        <is>
          <t>備考</t>
        </is>
      </c>
    </row>
    <row r="2">
      <c r="A2" s="18" t="n">
        <v>46023</v>
      </c>
      <c r="B2">
        <f>TEXT(A2, "aaa")</f>
        <v/>
      </c>
      <c r="C2">
        <f>IF(OR(B2="土", B2="日", B2="祝"), "土日祝", "平日")</f>
        <v/>
      </c>
      <c r="D2" s="38" t="n"/>
      <c r="E2" s="38" t="n"/>
      <c r="F2" s="38" t="n"/>
      <c r="G2" s="38" t="n"/>
      <c r="H2" s="17" t="n"/>
      <c r="I2" s="34">
        <f>IF(K2&gt;0,1,0)</f>
        <v/>
      </c>
      <c r="K2" s="35">
        <f>G2-D2-(F2-E2)</f>
        <v/>
      </c>
      <c r="L2" s="39">
        <f>IF(K2&gt;TIME(5,59,0),TIME(0,30,0),0)</f>
        <v/>
      </c>
      <c r="M2" s="35">
        <f>K2-L2</f>
        <v/>
      </c>
      <c r="N2" s="35">
        <f>IF(M2&gt;=TIME(8,0,0),M2-TIME(8,0,0),0)</f>
        <v/>
      </c>
      <c r="O2" s="35">
        <f>"5:00"-MIN(D2,"5:00")+MAX((G2&lt;D2)+G2,"22:00")-"22:00"</f>
        <v/>
      </c>
    </row>
    <row r="3">
      <c r="A3" s="18" t="n">
        <v>46024</v>
      </c>
      <c r="B3">
        <f>TEXT(A3, "aaa")</f>
        <v/>
      </c>
      <c r="C3">
        <f>IF(OR(B3="土", B3="日", B3="祝"), "土日祝", "平日")</f>
        <v/>
      </c>
      <c r="D3" s="38" t="n"/>
      <c r="E3" s="38" t="n"/>
      <c r="F3" s="38" t="n"/>
      <c r="G3" s="38" t="n"/>
      <c r="H3" s="17" t="n"/>
      <c r="I3" s="34">
        <f>IF(K3&gt;0,1,0)</f>
        <v/>
      </c>
      <c r="K3" s="35">
        <f>G3-D3-(F3-E3)</f>
        <v/>
      </c>
      <c r="L3" s="39">
        <f>IF(K3&gt;TIME(5,59,0),TIME(0,30,0),0)</f>
        <v/>
      </c>
      <c r="M3" s="35">
        <f>K3-L3</f>
        <v/>
      </c>
      <c r="N3" s="35">
        <f>IF(M3&gt;=TIME(8,0,0),M3-TIME(8,0,0),0)</f>
        <v/>
      </c>
      <c r="O3" s="35">
        <f>"5:00"-MIN(D3,"5:00")+MAX((G3&lt;D3)+G3,"22:00")-"22:00"</f>
        <v/>
      </c>
    </row>
    <row r="4">
      <c r="A4" s="18" t="n">
        <v>46025</v>
      </c>
      <c r="B4">
        <f>TEXT(A4, "aaa")</f>
        <v/>
      </c>
      <c r="C4">
        <f>IF(OR(B4="土", B4="日", B4="祝"), "土日祝", "平日")</f>
        <v/>
      </c>
      <c r="D4" s="38" t="n"/>
      <c r="E4" s="38" t="n"/>
      <c r="F4" s="38" t="n"/>
      <c r="G4" s="38" t="n"/>
      <c r="H4" s="17" t="n"/>
      <c r="I4" s="34">
        <f>IF(K4&gt;0,1,0)</f>
        <v/>
      </c>
      <c r="K4" s="35">
        <f>G4-D4-(F4-E4)</f>
        <v/>
      </c>
      <c r="L4" s="39">
        <f>IF(K4&gt;TIME(5,59,0),TIME(0,30,0),0)</f>
        <v/>
      </c>
      <c r="M4" s="35">
        <f>K4-L4</f>
        <v/>
      </c>
      <c r="N4" s="35">
        <f>IF(M4&gt;=TIME(8,0,0),M4-TIME(8,0,0),0)</f>
        <v/>
      </c>
      <c r="O4" s="35">
        <f>"5:00"-MIN(D4,"5:00")+MAX((G4&lt;D4)+G4,"22:00")-"22:00"</f>
        <v/>
      </c>
    </row>
    <row r="5">
      <c r="A5" s="18" t="n">
        <v>46026</v>
      </c>
      <c r="B5">
        <f>TEXT(A5, "aaa")</f>
        <v/>
      </c>
      <c r="C5">
        <f>IF(OR(B5="土", B5="日", B5="祝"), "土日祝", "平日")</f>
        <v/>
      </c>
      <c r="D5" s="12" t="n"/>
      <c r="E5" s="38" t="n"/>
      <c r="F5" s="38" t="n"/>
      <c r="G5" s="38" t="n"/>
      <c r="H5" s="17" t="n"/>
      <c r="I5" s="34">
        <f>IF(K5&gt;0,1,0)</f>
        <v/>
      </c>
      <c r="K5" s="35">
        <f>G5-D5-(F5-E5)</f>
        <v/>
      </c>
      <c r="L5" s="39">
        <f>IF(K5&gt;TIME(5,59,0),TIME(0,30,0),0)</f>
        <v/>
      </c>
      <c r="M5" s="35">
        <f>K5-L5</f>
        <v/>
      </c>
      <c r="N5" s="35">
        <f>IF(M5&gt;=TIME(8,0,0),M5-TIME(8,0,0),0)</f>
        <v/>
      </c>
      <c r="O5" s="35">
        <f>"5:00"-MIN(D5,"5:00")+MAX((G5&lt;D5)+G5,"22:00")-"22:00"</f>
        <v/>
      </c>
    </row>
    <row r="6">
      <c r="A6" s="18" t="n">
        <v>46027</v>
      </c>
      <c r="B6">
        <f>TEXT(A6, "aaa")</f>
        <v/>
      </c>
      <c r="C6">
        <f>IF(OR(B6="土", B6="日", B6="祝"), "土日祝", "平日")</f>
        <v/>
      </c>
      <c r="D6" s="38" t="n"/>
      <c r="E6" s="38" t="n"/>
      <c r="F6" s="38" t="n"/>
      <c r="G6" s="38" t="n"/>
      <c r="H6" s="17" t="n"/>
      <c r="I6" s="34">
        <f>IF(K6&gt;0,1,0)</f>
        <v/>
      </c>
      <c r="K6" s="35">
        <f>G6-D6-(F6-E6)</f>
        <v/>
      </c>
      <c r="L6" s="39">
        <f>IF(K6&gt;TIME(5,59,0),TIME(0,30,0),0)</f>
        <v/>
      </c>
      <c r="M6" s="35">
        <f>K6-L6</f>
        <v/>
      </c>
      <c r="N6" s="35">
        <f>IF(M6&gt;=TIME(8,0,0),M6-TIME(8,0,0),0)</f>
        <v/>
      </c>
      <c r="O6" s="35">
        <f>"5:00"-MIN(D6,"5:00")+MAX((G6&lt;D6)+G6,"22:00")-"22:00"</f>
        <v/>
      </c>
    </row>
    <row r="7">
      <c r="A7" s="18" t="n">
        <v>46028</v>
      </c>
      <c r="B7">
        <f>TEXT(A7, "aaa")</f>
        <v/>
      </c>
      <c r="C7">
        <f>IF(OR(B7="土", B7="日", B7="祝"), "土日祝", "平日")</f>
        <v/>
      </c>
      <c r="D7" s="38" t="n"/>
      <c r="E7" s="38" t="n"/>
      <c r="F7" s="38" t="n"/>
      <c r="G7" s="38" t="n"/>
      <c r="H7" s="17" t="n"/>
      <c r="I7" s="34">
        <f>IF(K7&gt;0,1,0)</f>
        <v/>
      </c>
      <c r="K7" s="35">
        <f>G7-D7-(F7-E7)</f>
        <v/>
      </c>
      <c r="L7" s="39">
        <f>IF(K7&gt;TIME(5,59,0),TIME(0,30,0),0)</f>
        <v/>
      </c>
      <c r="M7" s="35">
        <f>K7-L7</f>
        <v/>
      </c>
      <c r="N7" s="35">
        <f>IF(M7&gt;=TIME(8,0,0),M7-TIME(8,0,0),0)</f>
        <v/>
      </c>
      <c r="O7" s="35">
        <f>"5:00"-MIN(D7,"5:00")+MAX((G7&lt;D7)+G7,"22:00")-"22:00"</f>
        <v/>
      </c>
    </row>
    <row r="8">
      <c r="A8" s="18" t="n">
        <v>46029</v>
      </c>
      <c r="B8">
        <f>TEXT(A8, "aaa")</f>
        <v/>
      </c>
      <c r="C8">
        <f>IF(OR(B8="土", B8="日", B8="祝"), "土日祝", "平日")</f>
        <v/>
      </c>
      <c r="D8" s="38" t="n"/>
      <c r="E8" s="38" t="n"/>
      <c r="F8" s="38" t="n"/>
      <c r="G8" s="38" t="n"/>
      <c r="H8" s="17" t="n"/>
      <c r="I8" s="34">
        <f>IF(K8&gt;0,1,0)</f>
        <v/>
      </c>
      <c r="K8" s="35">
        <f>G8-D8-(F8-E8)</f>
        <v/>
      </c>
      <c r="L8" s="39">
        <f>IF(K8&gt;TIME(5,59,0),TIME(0,30,0),0)</f>
        <v/>
      </c>
      <c r="M8" s="35">
        <f>K8-L8</f>
        <v/>
      </c>
      <c r="N8" s="35">
        <f>IF(M8&gt;=TIME(8,0,0),M8-TIME(8,0,0),0)</f>
        <v/>
      </c>
      <c r="O8" s="35">
        <f>"5:00"-MIN(D8,"5:00")+MAX((G8&lt;D8)+G8,"22:00")-"22:00"</f>
        <v/>
      </c>
    </row>
    <row r="9">
      <c r="A9" s="18" t="n">
        <v>46030</v>
      </c>
      <c r="B9">
        <f>TEXT(A9, "aaa")</f>
        <v/>
      </c>
      <c r="C9">
        <f>IF(OR(B9="土", B9="日", B9="祝"), "土日祝", "平日")</f>
        <v/>
      </c>
      <c r="D9" s="38" t="n"/>
      <c r="E9" s="38" t="n"/>
      <c r="F9" s="38" t="n"/>
      <c r="G9" s="38" t="n"/>
      <c r="H9" s="17" t="n"/>
      <c r="I9" s="34">
        <f>IF(K9&gt;0,1,0)</f>
        <v/>
      </c>
      <c r="K9" s="35">
        <f>G9-D9-(F9-E9)</f>
        <v/>
      </c>
      <c r="L9" s="39">
        <f>IF(K9&gt;TIME(5,59,0),TIME(0,30,0),0)</f>
        <v/>
      </c>
      <c r="M9" s="35">
        <f>K9-L9</f>
        <v/>
      </c>
      <c r="N9" s="35">
        <f>IF(M9&gt;=TIME(8,0,0),M9-TIME(8,0,0),0)</f>
        <v/>
      </c>
      <c r="O9" s="35">
        <f>"5:00"-MIN(D9,"5:00")+MAX((G9&lt;D9)+G9,"22:00")-"22:00"</f>
        <v/>
      </c>
    </row>
    <row r="10">
      <c r="A10" s="18" t="n">
        <v>46031</v>
      </c>
      <c r="B10">
        <f>TEXT(A10, "aaa")</f>
        <v/>
      </c>
      <c r="C10">
        <f>IF(OR(B10="土", B10="日", B10="祝"), "土日祝", "平日")</f>
        <v/>
      </c>
      <c r="D10" s="38" t="n"/>
      <c r="E10" s="38" t="n"/>
      <c r="F10" s="38" t="n"/>
      <c r="G10" s="38" t="n"/>
      <c r="H10" s="17" t="n"/>
      <c r="I10" s="34">
        <f>IF(K10&gt;0,1,0)</f>
        <v/>
      </c>
      <c r="K10" s="35">
        <f>G10-D10-(F10-E10)</f>
        <v/>
      </c>
      <c r="L10" s="39">
        <f>IF(K10&gt;TIME(5,59,0),TIME(0,30,0),0)</f>
        <v/>
      </c>
      <c r="M10" s="35">
        <f>K10-L10</f>
        <v/>
      </c>
      <c r="N10" s="35">
        <f>IF(M10&gt;=TIME(8,0,0),M10-TIME(8,0,0),0)</f>
        <v/>
      </c>
      <c r="O10" s="35">
        <f>"5:00"-MIN(D10,"5:00")+MAX((G10&lt;D10)+G10,"22:00")-"22:00"</f>
        <v/>
      </c>
    </row>
    <row r="11">
      <c r="A11" s="18" t="n">
        <v>46032</v>
      </c>
      <c r="B11">
        <f>TEXT(A11, "aaa")</f>
        <v/>
      </c>
      <c r="C11">
        <f>IF(OR(B11="土", B11="日", B11="祝"), "土日祝", "平日")</f>
        <v/>
      </c>
      <c r="D11" s="38" t="n"/>
      <c r="E11" s="38" t="n"/>
      <c r="F11" s="38" t="n"/>
      <c r="G11" s="38" t="n"/>
      <c r="H11" s="17" t="n"/>
      <c r="I11" s="34">
        <f>IF(K11&gt;0,1,0)</f>
        <v/>
      </c>
      <c r="K11" s="35">
        <f>G11-D11-(F11-E11)</f>
        <v/>
      </c>
      <c r="L11" s="39">
        <f>IF(K11&gt;TIME(5,59,0),TIME(0,30,0),0)</f>
        <v/>
      </c>
      <c r="M11" s="35">
        <f>K11-L11</f>
        <v/>
      </c>
      <c r="N11" s="35">
        <f>IF(M11&gt;=TIME(8,0,0),M11-TIME(8,0,0),0)</f>
        <v/>
      </c>
      <c r="O11" s="35">
        <f>"5:00"-MIN(D11,"5:00")+MAX((G11&lt;D11)+G11,"22:00")-"22:00"</f>
        <v/>
      </c>
    </row>
    <row r="12">
      <c r="A12" s="18" t="n">
        <v>46033</v>
      </c>
      <c r="B12">
        <f>TEXT(A12, "aaa")</f>
        <v/>
      </c>
      <c r="C12">
        <f>IF(OR(B12="土", B12="日", B12="祝"), "土日祝", "平日")</f>
        <v/>
      </c>
      <c r="D12" s="38" t="n"/>
      <c r="E12" s="38" t="n"/>
      <c r="F12" s="38" t="n"/>
      <c r="G12" s="38" t="n"/>
      <c r="H12" s="17" t="n"/>
      <c r="I12" s="34">
        <f>IF(K12&gt;0,1,0)</f>
        <v/>
      </c>
      <c r="K12" s="35">
        <f>G12-D12-(F12-E12)</f>
        <v/>
      </c>
      <c r="L12" s="39">
        <f>IF(K12&gt;TIME(5,59,0),TIME(0,30,0),0)</f>
        <v/>
      </c>
      <c r="M12" s="35">
        <f>K12-L12</f>
        <v/>
      </c>
      <c r="N12" s="35">
        <f>IF(M12&gt;=TIME(8,0,0),M12-TIME(8,0,0),0)</f>
        <v/>
      </c>
      <c r="O12" s="35">
        <f>"5:00"-MIN(D12,"5:00")+MAX((G12&lt;D12)+G12,"22:00")-"22:00"</f>
        <v/>
      </c>
    </row>
    <row r="13">
      <c r="A13" s="18" t="n">
        <v>46034</v>
      </c>
      <c r="B13">
        <f>TEXT(A13, "aaa")</f>
        <v/>
      </c>
      <c r="C13">
        <f>IF(OR(B13="土", B13="日", B13="祝"), "土日祝", "平日")</f>
        <v/>
      </c>
      <c r="D13" s="38" t="n"/>
      <c r="E13" s="38" t="n"/>
      <c r="F13" s="38" t="n"/>
      <c r="G13" s="38" t="n"/>
      <c r="H13" s="17" t="n"/>
      <c r="I13" s="34">
        <f>IF(K13&gt;0,1,0)</f>
        <v/>
      </c>
      <c r="K13" s="35">
        <f>G13-D13-(F13-E13)</f>
        <v/>
      </c>
      <c r="L13" s="39">
        <f>IF(K13&gt;TIME(5,59,0),TIME(0,30,0),0)</f>
        <v/>
      </c>
      <c r="M13" s="35">
        <f>K13-L13</f>
        <v/>
      </c>
      <c r="N13" s="35">
        <f>IF(M13&gt;=TIME(8,0,0),M13-TIME(8,0,0),0)</f>
        <v/>
      </c>
      <c r="O13" s="35">
        <f>"5:00"-MIN(D13,"5:00")+MAX((G13&lt;D13)+G13,"22:00")-"22:00"</f>
        <v/>
      </c>
    </row>
    <row r="14">
      <c r="A14" s="18" t="n">
        <v>46035</v>
      </c>
      <c r="B14">
        <f>TEXT(A14, "aaa")</f>
        <v/>
      </c>
      <c r="C14">
        <f>IF(OR(B14="土", B14="日", B14="祝"), "土日祝", "平日")</f>
        <v/>
      </c>
      <c r="D14" s="38" t="n"/>
      <c r="E14" s="38" t="n"/>
      <c r="F14" s="38" t="n"/>
      <c r="G14" s="38" t="n"/>
      <c r="H14" s="17" t="n"/>
      <c r="I14" s="34">
        <f>IF(K14&gt;0,1,0)</f>
        <v/>
      </c>
      <c r="K14" s="35">
        <f>G14-D14-(F14-E14)</f>
        <v/>
      </c>
      <c r="L14" s="39">
        <f>IF(K14&gt;TIME(5,59,0),TIME(0,30,0),0)</f>
        <v/>
      </c>
      <c r="M14" s="35">
        <f>K14-L14</f>
        <v/>
      </c>
      <c r="N14" s="35">
        <f>IF(M14&gt;=TIME(8,0,0),M14-TIME(8,0,0),0)</f>
        <v/>
      </c>
      <c r="O14" s="35">
        <f>"5:00"-MIN(D14,"5:00")+MAX((G14&lt;D14)+G14,"22:00")-"22:00"</f>
        <v/>
      </c>
    </row>
    <row r="15">
      <c r="A15" s="18" t="n">
        <v>46036</v>
      </c>
      <c r="B15">
        <f>TEXT(A15, "aaa")</f>
        <v/>
      </c>
      <c r="C15">
        <f>IF(OR(B15="土", B15="日", B15="祝"), "土日祝", "平日")</f>
        <v/>
      </c>
      <c r="D15" s="38" t="n"/>
      <c r="E15" s="38" t="n"/>
      <c r="F15" s="38" t="n"/>
      <c r="G15" s="38" t="n"/>
      <c r="H15" s="17" t="n"/>
      <c r="I15" s="34">
        <f>IF(K15&gt;0,1,0)</f>
        <v/>
      </c>
      <c r="K15" s="35">
        <f>G15-D15-(F15-E15)</f>
        <v/>
      </c>
      <c r="L15" s="39">
        <f>IF(K15&gt;TIME(5,59,0),TIME(0,30,0),0)</f>
        <v/>
      </c>
      <c r="M15" s="35">
        <f>K15-L15</f>
        <v/>
      </c>
      <c r="N15" s="35">
        <f>IF(M15&gt;=TIME(8,0,0),M15-TIME(8,0,0),0)</f>
        <v/>
      </c>
      <c r="O15" s="35">
        <f>"5:00"-MIN(D15,"5:00")+MAX((G15&lt;D15)+G15,"22:00")-"22:00"</f>
        <v/>
      </c>
    </row>
    <row r="16">
      <c r="A16" s="18" t="n">
        <v>46037</v>
      </c>
      <c r="B16">
        <f>TEXT(A16, "aaa")</f>
        <v/>
      </c>
      <c r="C16">
        <f>IF(OR(B16="土", B16="日", B16="祝"), "土日祝", "平日")</f>
        <v/>
      </c>
      <c r="D16" s="38" t="n"/>
      <c r="E16" s="38" t="n"/>
      <c r="F16" s="38" t="n"/>
      <c r="G16" s="38" t="n"/>
      <c r="H16" s="17" t="n"/>
      <c r="I16" s="34">
        <f>IF(K16&gt;0,1,0)</f>
        <v/>
      </c>
      <c r="K16" s="35">
        <f>G16-D16-(F16-E16)</f>
        <v/>
      </c>
      <c r="L16" s="39">
        <f>IF(K16&gt;TIME(5,59,0),TIME(0,30,0),0)</f>
        <v/>
      </c>
      <c r="M16" s="35">
        <f>K16-L16</f>
        <v/>
      </c>
      <c r="N16" s="35">
        <f>IF(M16&gt;=TIME(8,0,0),M16-TIME(8,0,0),0)</f>
        <v/>
      </c>
      <c r="O16" s="35">
        <f>"5:00"-MIN(D16,"5:00")+MAX((G16&lt;D16)+G16,"22:00")-"22:00"</f>
        <v/>
      </c>
    </row>
    <row r="17">
      <c r="A17" s="18" t="n">
        <v>46038</v>
      </c>
      <c r="B17">
        <f>TEXT(A17, "aaa")</f>
        <v/>
      </c>
      <c r="C17">
        <f>IF(OR(B17="土", B17="日", B17="祝"), "土日祝", "平日")</f>
        <v/>
      </c>
      <c r="D17" s="38" t="n"/>
      <c r="E17" s="38" t="n"/>
      <c r="F17" s="38" t="n"/>
      <c r="G17" s="38" t="n"/>
      <c r="H17" s="17" t="n"/>
      <c r="I17" s="34">
        <f>IF(K17&gt;0,1,0)</f>
        <v/>
      </c>
      <c r="K17" s="35">
        <f>G17-D17-(F17-E17)</f>
        <v/>
      </c>
      <c r="L17" s="39">
        <f>IF(K17&gt;TIME(5,59,0),TIME(0,30,0),0)</f>
        <v/>
      </c>
      <c r="M17" s="35">
        <f>K17-L17</f>
        <v/>
      </c>
      <c r="N17" s="35">
        <f>IF(M17&gt;=TIME(8,0,0),M17-TIME(8,0,0),0)</f>
        <v/>
      </c>
      <c r="O17" s="35">
        <f>"5:00"-MIN(D17,"5:00")+MAX((G17&lt;D17)+G17,"22:00")-"22:00"</f>
        <v/>
      </c>
    </row>
    <row r="18">
      <c r="A18" s="18" t="n">
        <v>46039</v>
      </c>
      <c r="B18">
        <f>TEXT(A18, "aaa")</f>
        <v/>
      </c>
      <c r="C18">
        <f>IF(OR(B18="土", B18="日", B18="祝"), "土日祝", "平日")</f>
        <v/>
      </c>
      <c r="D18" s="38" t="n"/>
      <c r="E18" s="38" t="n"/>
      <c r="F18" s="38" t="n"/>
      <c r="G18" s="38" t="n"/>
      <c r="H18" s="17" t="n"/>
      <c r="I18" s="34">
        <f>IF(K18&gt;0,1,0)</f>
        <v/>
      </c>
      <c r="K18" s="35">
        <f>G18-D18-(F18-E18)</f>
        <v/>
      </c>
      <c r="L18" s="39">
        <f>IF(K18&gt;TIME(5,59,0),TIME(0,30,0),0)</f>
        <v/>
      </c>
      <c r="M18" s="35">
        <f>K18-L18</f>
        <v/>
      </c>
      <c r="N18" s="35">
        <f>IF(M18&gt;=TIME(8,0,0),M18-TIME(8,0,0),0)</f>
        <v/>
      </c>
      <c r="O18" s="35">
        <f>"5:00"-MIN(D18,"5:00")+MAX((G18&lt;D18)+G18,"22:00")-"22:00"</f>
        <v/>
      </c>
    </row>
    <row r="19">
      <c r="A19" s="18" t="n">
        <v>46040</v>
      </c>
      <c r="B19">
        <f>TEXT(A19, "aaa")</f>
        <v/>
      </c>
      <c r="C19">
        <f>IF(OR(B19="土", B19="日", B19="祝"), "土日祝", "平日")</f>
        <v/>
      </c>
      <c r="D19" s="38" t="n"/>
      <c r="E19" s="38" t="n"/>
      <c r="F19" s="38" t="n"/>
      <c r="G19" s="38" t="n"/>
      <c r="H19" s="17" t="n"/>
      <c r="I19" s="34">
        <f>IF(K19&gt;0,1,0)</f>
        <v/>
      </c>
      <c r="K19" s="35">
        <f>G19-D19-(F19-E19)</f>
        <v/>
      </c>
      <c r="L19" s="39">
        <f>IF(K19&gt;TIME(5,59,0),TIME(0,30,0),0)</f>
        <v/>
      </c>
      <c r="M19" s="35">
        <f>K19-L19</f>
        <v/>
      </c>
      <c r="N19" s="35">
        <f>IF(M19&gt;=TIME(8,0,0),M19-TIME(8,0,0),0)</f>
        <v/>
      </c>
      <c r="O19" s="35">
        <f>"5:00"-MIN(D19,"5:00")+MAX((G19&lt;D19)+G19,"22:00")-"22:00"</f>
        <v/>
      </c>
    </row>
    <row r="20">
      <c r="A20" s="18" t="n">
        <v>46041</v>
      </c>
      <c r="B20">
        <f>TEXT(A20, "aaa")</f>
        <v/>
      </c>
      <c r="C20">
        <f>IF(OR(B20="土", B20="日", B20="祝"), "土日祝", "平日")</f>
        <v/>
      </c>
      <c r="D20" s="38" t="n"/>
      <c r="E20" s="38" t="n"/>
      <c r="F20" s="38" t="n"/>
      <c r="G20" s="38" t="n"/>
      <c r="H20" s="17" t="n"/>
      <c r="I20" s="34">
        <f>IF(K20&gt;0,1,0)</f>
        <v/>
      </c>
      <c r="K20" s="35">
        <f>G20-D20-(F20-E20)</f>
        <v/>
      </c>
      <c r="L20" s="39">
        <f>IF(K20&gt;TIME(5,59,0),TIME(0,30,0),0)</f>
        <v/>
      </c>
      <c r="M20" s="35">
        <f>K20-L20</f>
        <v/>
      </c>
      <c r="N20" s="35">
        <f>IF(M20&gt;=TIME(8,0,0),M20-TIME(8,0,0),0)</f>
        <v/>
      </c>
      <c r="O20" s="35">
        <f>"5:00"-MIN(D20,"5:00")+MAX((G20&lt;D20)+G20,"22:00")-"22:00"</f>
        <v/>
      </c>
    </row>
    <row r="21">
      <c r="A21" s="18" t="n">
        <v>46042</v>
      </c>
      <c r="B21">
        <f>TEXT(A21, "aaa")</f>
        <v/>
      </c>
      <c r="C21">
        <f>IF(OR(B21="土", B21="日", B21="祝"), "土日祝", "平日")</f>
        <v/>
      </c>
      <c r="D21" s="38" t="n"/>
      <c r="E21" s="38" t="n"/>
      <c r="F21" s="38" t="n"/>
      <c r="G21" s="38" t="n"/>
      <c r="H21" s="17" t="n"/>
      <c r="I21" s="34">
        <f>IF(K21&gt;0,1,0)</f>
        <v/>
      </c>
      <c r="K21" s="35">
        <f>G21-D21-(F21-E21)</f>
        <v/>
      </c>
      <c r="L21" s="39">
        <f>IF(K21&gt;TIME(5,59,0),TIME(0,30,0),0)</f>
        <v/>
      </c>
      <c r="M21" s="35">
        <f>K21-L21</f>
        <v/>
      </c>
      <c r="N21" s="35">
        <f>IF(M21&gt;=TIME(8,0,0),M21-TIME(8,0,0),0)</f>
        <v/>
      </c>
      <c r="O21" s="35">
        <f>"5:00"-MIN(D21,"5:00")+MAX((G21&lt;D21)+G21,"22:00")-"22:00"</f>
        <v/>
      </c>
    </row>
    <row r="22">
      <c r="A22" s="18" t="n">
        <v>46043</v>
      </c>
      <c r="B22">
        <f>TEXT(A22, "aaa")</f>
        <v/>
      </c>
      <c r="C22">
        <f>IF(OR(B22="土", B22="日", B22="祝"), "土日祝", "平日")</f>
        <v/>
      </c>
      <c r="D22" s="38" t="n"/>
      <c r="E22" s="38" t="n"/>
      <c r="F22" s="38" t="n"/>
      <c r="G22" s="38" t="n"/>
      <c r="H22" s="17" t="n"/>
      <c r="I22" s="34">
        <f>IF(K22&gt;0,1,0)</f>
        <v/>
      </c>
      <c r="K22" s="35">
        <f>G22-D22-(F22-E22)</f>
        <v/>
      </c>
      <c r="L22" s="39">
        <f>IF(K22&gt;TIME(5,59,0),TIME(0,30,0),0)</f>
        <v/>
      </c>
      <c r="M22" s="35">
        <f>K22-L22</f>
        <v/>
      </c>
      <c r="N22" s="35">
        <f>IF(M22&gt;=TIME(8,0,0),M22-TIME(8,0,0),0)</f>
        <v/>
      </c>
      <c r="O22" s="35">
        <f>"5:00"-MIN(D22,"5:00")+MAX((G22&lt;D22)+G22,"22:00")-"22:00"</f>
        <v/>
      </c>
    </row>
    <row r="23">
      <c r="A23" s="18" t="n">
        <v>46044</v>
      </c>
      <c r="B23">
        <f>TEXT(A23, "aaa")</f>
        <v/>
      </c>
      <c r="C23">
        <f>IF(OR(B23="土", B23="日", B23="祝"), "土日祝", "平日")</f>
        <v/>
      </c>
      <c r="D23" s="38" t="n"/>
      <c r="E23" s="38" t="n"/>
      <c r="F23" s="38" t="n"/>
      <c r="G23" s="38" t="n"/>
      <c r="H23" s="17" t="n"/>
      <c r="I23" s="34">
        <f>IF(K23&gt;0,1,0)</f>
        <v/>
      </c>
      <c r="K23" s="35">
        <f>G23-D23-(F23-E23)</f>
        <v/>
      </c>
      <c r="L23" s="39">
        <f>IF(K23&gt;TIME(5,59,0),TIME(0,30,0),0)</f>
        <v/>
      </c>
      <c r="M23" s="35">
        <f>K23-L23</f>
        <v/>
      </c>
      <c r="N23" s="35">
        <f>IF(M23&gt;=TIME(8,0,0),M23-TIME(8,0,0),0)</f>
        <v/>
      </c>
      <c r="O23" s="35">
        <f>"5:00"-MIN(D23,"5:00")+MAX((G23&lt;D23)+G23,"22:00")-"22:00"</f>
        <v/>
      </c>
    </row>
    <row r="24">
      <c r="A24" s="18" t="n">
        <v>46045</v>
      </c>
      <c r="B24">
        <f>TEXT(A24, "aaa")</f>
        <v/>
      </c>
      <c r="C24">
        <f>IF(OR(B24="土", B24="日", B24="祝"), "土日祝", "平日")</f>
        <v/>
      </c>
      <c r="D24" s="38" t="n"/>
      <c r="E24" s="38" t="n"/>
      <c r="F24" s="38" t="n"/>
      <c r="G24" s="38" t="n"/>
      <c r="H24" s="17" t="n"/>
      <c r="I24" s="34">
        <f>IF(K24&gt;0,1,0)</f>
        <v/>
      </c>
      <c r="K24" s="35">
        <f>G24-D24-(F24-E24)</f>
        <v/>
      </c>
      <c r="L24" s="39">
        <f>IF(K24&gt;TIME(5,59,0),TIME(0,30,0),0)</f>
        <v/>
      </c>
      <c r="M24" s="35">
        <f>K24-L24</f>
        <v/>
      </c>
      <c r="N24" s="35">
        <f>IF(M24&gt;=TIME(8,0,0),M24-TIME(8,0,0),0)</f>
        <v/>
      </c>
      <c r="O24" s="35">
        <f>"5:00"-MIN(D24,"5:00")+MAX((G24&lt;D24)+G24,"22:00")-"22:00"</f>
        <v/>
      </c>
    </row>
    <row r="25">
      <c r="A25" s="18" t="n">
        <v>46046</v>
      </c>
      <c r="B25">
        <f>TEXT(A25, "aaa")</f>
        <v/>
      </c>
      <c r="C25">
        <f>IF(OR(B25="土", B25="日", B25="祝"), "土日祝", "平日")</f>
        <v/>
      </c>
      <c r="D25" s="38" t="n"/>
      <c r="E25" s="38" t="n"/>
      <c r="F25" s="38" t="n"/>
      <c r="G25" s="38" t="n"/>
      <c r="H25" s="17" t="n"/>
      <c r="I25" s="34">
        <f>IF(K25&gt;0,1,0)</f>
        <v/>
      </c>
      <c r="K25" s="35">
        <f>G25-D25-(F25-E25)</f>
        <v/>
      </c>
      <c r="L25" s="39">
        <f>IF(K25&gt;TIME(5,59,0),TIME(0,30,0),0)</f>
        <v/>
      </c>
      <c r="M25" s="35">
        <f>K25-L25</f>
        <v/>
      </c>
      <c r="N25" s="35">
        <f>IF(M25&gt;=TIME(8,0,0),M25-TIME(8,0,0),0)</f>
        <v/>
      </c>
      <c r="O25" s="35">
        <f>"5:00"-MIN(D25,"5:00")+MAX((G25&lt;D25)+G25,"22:00")-"22:00"</f>
        <v/>
      </c>
    </row>
    <row r="26">
      <c r="A26" s="18" t="n">
        <v>46047</v>
      </c>
      <c r="B26">
        <f>TEXT(A26, "aaa")</f>
        <v/>
      </c>
      <c r="C26">
        <f>IF(OR(B26="土", B26="日", B26="祝"), "土日祝", "平日")</f>
        <v/>
      </c>
      <c r="D26" s="38" t="n"/>
      <c r="E26" s="38" t="n"/>
      <c r="F26" s="38" t="n"/>
      <c r="G26" s="38" t="n"/>
      <c r="H26" s="17" t="n"/>
      <c r="I26" s="34">
        <f>IF(K26&gt;0,1,0)</f>
        <v/>
      </c>
      <c r="K26" s="35">
        <f>G26-D26-(F26-E26)</f>
        <v/>
      </c>
      <c r="L26" s="39">
        <f>IF(K26&gt;TIME(5,59,0),TIME(0,30,0),0)</f>
        <v/>
      </c>
      <c r="M26" s="35">
        <f>K26-L26</f>
        <v/>
      </c>
      <c r="N26" s="35">
        <f>IF(M26&gt;=TIME(8,0,0),M26-TIME(8,0,0),0)</f>
        <v/>
      </c>
      <c r="O26" s="35">
        <f>"5:00"-MIN(D26,"5:00")+MAX((G26&lt;D26)+G26,"22:00")-"22:00"</f>
        <v/>
      </c>
    </row>
    <row r="27">
      <c r="A27" s="18" t="n">
        <v>46048</v>
      </c>
      <c r="B27">
        <f>TEXT(A27, "aaa")</f>
        <v/>
      </c>
      <c r="C27">
        <f>IF(OR(B27="土", B27="日", B27="祝"), "土日祝", "平日")</f>
        <v/>
      </c>
      <c r="D27" s="38" t="n"/>
      <c r="E27" s="38" t="n"/>
      <c r="F27" s="38" t="n"/>
      <c r="G27" s="38" t="n"/>
      <c r="H27" s="17" t="n"/>
      <c r="I27" s="34">
        <f>IF(K27&gt;0,1,0)</f>
        <v/>
      </c>
      <c r="K27" s="35">
        <f>G27-D27-(F27-E27)</f>
        <v/>
      </c>
      <c r="L27" s="39">
        <f>IF(K27&gt;TIME(5,59,0),TIME(0,30,0),0)</f>
        <v/>
      </c>
      <c r="M27" s="35">
        <f>K27-L27</f>
        <v/>
      </c>
      <c r="N27" s="35">
        <f>IF(M27&gt;=TIME(8,0,0),M27-TIME(8,0,0),0)</f>
        <v/>
      </c>
      <c r="O27" s="35">
        <f>"5:00"-MIN(D27,"5:00")+MAX((G27&lt;D27)+G27,"22:00")-"22:00"</f>
        <v/>
      </c>
    </row>
    <row r="28">
      <c r="A28" s="18" t="n">
        <v>46049</v>
      </c>
      <c r="B28">
        <f>TEXT(A28, "aaa")</f>
        <v/>
      </c>
      <c r="C28">
        <f>IF(OR(B28="土", B28="日", B28="祝"), "土日祝", "平日")</f>
        <v/>
      </c>
      <c r="D28" s="38" t="n"/>
      <c r="E28" s="38" t="n"/>
      <c r="F28" s="38" t="n"/>
      <c r="G28" s="38" t="n"/>
      <c r="H28" s="17" t="n"/>
      <c r="I28" s="34">
        <f>IF(K28&gt;0,1,0)</f>
        <v/>
      </c>
      <c r="K28" s="35">
        <f>G28-D28-(F28-E28)</f>
        <v/>
      </c>
      <c r="L28" s="39">
        <f>IF(K28&gt;TIME(5,59,0),TIME(0,30,0),0)</f>
        <v/>
      </c>
      <c r="M28" s="35">
        <f>K28-L28</f>
        <v/>
      </c>
      <c r="N28" s="35">
        <f>IF(M28&gt;=TIME(8,0,0),M28-TIME(8,0,0),0)</f>
        <v/>
      </c>
      <c r="O28" s="35">
        <f>"5:00"-MIN(D28,"5:00")+MAX((G28&lt;D28)+G28,"22:00")-"22:00"</f>
        <v/>
      </c>
    </row>
    <row r="29">
      <c r="A29" s="18" t="n">
        <v>46050</v>
      </c>
      <c r="B29">
        <f>TEXT(A29, "aaa")</f>
        <v/>
      </c>
      <c r="C29">
        <f>IF(OR(B29="土", B29="日", B29="祝"), "土日祝", "平日")</f>
        <v/>
      </c>
      <c r="D29" s="38" t="n"/>
      <c r="E29" s="38" t="n"/>
      <c r="F29" s="38" t="n"/>
      <c r="G29" s="38" t="n"/>
      <c r="H29" s="17" t="n"/>
      <c r="I29" s="34">
        <f>IF(K29&gt;0,1,0)</f>
        <v/>
      </c>
      <c r="K29" s="35">
        <f>G29-D29-(F29-E29)</f>
        <v/>
      </c>
      <c r="L29" s="39">
        <f>IF(K29&gt;TIME(5,59,0),TIME(0,30,0),0)</f>
        <v/>
      </c>
      <c r="M29" s="35">
        <f>K29-L29</f>
        <v/>
      </c>
      <c r="N29" s="35">
        <f>IF(M29&gt;=TIME(8,0,0),M29-TIME(8,0,0),0)</f>
        <v/>
      </c>
      <c r="O29" s="35">
        <f>"5:00"-MIN(D29,"5:00")+MAX((G29&lt;D29)+G29,"22:00")-"22:00"</f>
        <v/>
      </c>
    </row>
    <row r="30">
      <c r="A30" s="18" t="n">
        <v>46051</v>
      </c>
      <c r="B30">
        <f>TEXT(A30, "aaa")</f>
        <v/>
      </c>
      <c r="C30">
        <f>IF(OR(B30="土", B30="日", B30="祝"), "土日祝", "平日")</f>
        <v/>
      </c>
      <c r="D30" s="38" t="n"/>
      <c r="E30" s="38" t="n"/>
      <c r="F30" s="38" t="n"/>
      <c r="G30" s="38" t="n"/>
      <c r="H30" s="17" t="n"/>
      <c r="I30" s="34">
        <f>IF(K30&gt;0,1,0)</f>
        <v/>
      </c>
      <c r="K30" s="35">
        <f>G30-D30-(F30-E30)</f>
        <v/>
      </c>
      <c r="L30" s="39">
        <f>IF(K30&gt;TIME(5,59,0),TIME(0,30,0),0)</f>
        <v/>
      </c>
      <c r="M30" s="35">
        <f>K30-L30</f>
        <v/>
      </c>
      <c r="N30" s="35">
        <f>IF(M30&gt;=TIME(8,0,0),M30-TIME(8,0,0),0)</f>
        <v/>
      </c>
      <c r="O30" s="35">
        <f>"5:00"-MIN(D30,"5:00")+MAX((G30&lt;D30)+G30,"22:00")-"22:00"</f>
        <v/>
      </c>
    </row>
    <row r="31">
      <c r="A31" s="18" t="n">
        <v>46052</v>
      </c>
      <c r="B31">
        <f>TEXT(A31, "aaa")</f>
        <v/>
      </c>
      <c r="C31">
        <f>IF(OR(B31="土", B31="日", B31="祝"), "土日祝", "平日")</f>
        <v/>
      </c>
      <c r="D31" s="38" t="n"/>
      <c r="E31" s="38" t="n"/>
      <c r="F31" s="38" t="n"/>
      <c r="G31" s="38" t="n"/>
      <c r="H31" s="17" t="n"/>
      <c r="I31" s="34">
        <f>IF(K31&gt;0,1,0)</f>
        <v/>
      </c>
      <c r="K31" s="35">
        <f>G31-D31-(F31-E31)</f>
        <v/>
      </c>
      <c r="L31" s="39">
        <f>IF(K31&gt;TIME(5,59,0),TIME(0,30,0),0)</f>
        <v/>
      </c>
      <c r="M31" s="35">
        <f>K31-L31</f>
        <v/>
      </c>
      <c r="N31" s="35">
        <f>IF(M31&gt;=TIME(8,0,0),M31-TIME(8,0,0),0)</f>
        <v/>
      </c>
      <c r="O31" s="35">
        <f>"5:00"-MIN(D31,"5:00")+MAX((G31&lt;D31)+G31,"22:00")-"22:00"</f>
        <v/>
      </c>
    </row>
    <row r="32">
      <c r="A32" s="18" t="n">
        <v>46053</v>
      </c>
      <c r="B32">
        <f>TEXT(A32, "aaa")</f>
        <v/>
      </c>
      <c r="C32">
        <f>IF(OR(B32="土", B32="日", B32="祝"), "土日祝", "平日")</f>
        <v/>
      </c>
      <c r="D32" s="38" t="n"/>
      <c r="E32" s="38" t="n"/>
      <c r="F32" s="38" t="n"/>
      <c r="G32" s="38" t="n"/>
      <c r="H32" s="17" t="n"/>
      <c r="I32" s="34">
        <f>IF(K32&gt;0,1,0)</f>
        <v/>
      </c>
      <c r="K32" s="35">
        <f>G32-D32-(F32-E32)</f>
        <v/>
      </c>
      <c r="L32" s="39">
        <f>IF(K32&gt;TIME(5,59,0),TIME(0,30,0),0)</f>
        <v/>
      </c>
      <c r="M32" s="35">
        <f>K32-L32</f>
        <v/>
      </c>
      <c r="N32" s="35">
        <f>IF(M32&gt;=TIME(8,0,0),M32-TIME(8,0,0),0)</f>
        <v/>
      </c>
      <c r="O32" s="35">
        <f>"5:00"-MIN(D32,"5:00")+MAX((G32&lt;D32)+G32,"22:00")-"22:00"</f>
        <v/>
      </c>
    </row>
    <row r="33" ht="18.6" customHeight="1" thickBot="1">
      <c r="H33" t="inlineStr">
        <is>
          <t>回数</t>
        </is>
      </c>
      <c r="I33" s="34" t="inlineStr">
        <is>
          <t>日数</t>
        </is>
      </c>
      <c r="K33" s="35" t="inlineStr">
        <is>
          <t>時間</t>
        </is>
      </c>
      <c r="L33" s="39" t="n"/>
      <c r="M33" s="35" t="inlineStr">
        <is>
          <t>勤務時間</t>
        </is>
      </c>
      <c r="N33" s="35" t="inlineStr">
        <is>
          <t>8時間超</t>
        </is>
      </c>
      <c r="O33" s="35" t="inlineStr">
        <is>
          <t>深夜時間</t>
        </is>
      </c>
    </row>
    <row r="34" ht="18.6" customHeight="1" thickBot="1">
      <c r="E34" t="inlineStr">
        <is>
          <t>手当</t>
        </is>
      </c>
      <c r="F34" s="40" t="n"/>
      <c r="H34" s="41">
        <f>SUM(H2:H32)</f>
        <v/>
      </c>
      <c r="I34" s="42">
        <f>SUM(I2:I32)</f>
        <v/>
      </c>
      <c r="J34" s="43" t="n"/>
      <c r="K34" s="44">
        <f>SUM(K2:K32)</f>
        <v/>
      </c>
      <c r="L34" s="44">
        <f>SUM(L2:L32)</f>
        <v/>
      </c>
      <c r="M34" s="45">
        <f>SUM(M2:M32)</f>
        <v/>
      </c>
      <c r="N34" s="46">
        <f>SUM(N2:N32)</f>
        <v/>
      </c>
      <c r="O34" s="46">
        <f>SUM(O2:O32)</f>
        <v/>
      </c>
    </row>
    <row r="35" ht="18.6" customHeight="1" thickBot="1"/>
    <row r="36" ht="18.6" customHeight="1" thickBot="1">
      <c r="E36" t="inlineStr">
        <is>
          <t>報酬</t>
        </is>
      </c>
      <c r="F36">
        <f>M40*F41</f>
        <v/>
      </c>
      <c r="L36" s="21" t="inlineStr">
        <is>
          <t>平日</t>
        </is>
      </c>
      <c r="M36" s="47">
        <f>SUMIFS(M:M, C:C, "平日")</f>
        <v/>
      </c>
      <c r="N36" s="48">
        <f>SUMIFS(N:N, C:C, "平日")</f>
        <v/>
      </c>
      <c r="O36" s="48">
        <f>SUMIFS(O:O, C:C, "平日")</f>
        <v/>
      </c>
    </row>
    <row r="37" ht="18.6" customHeight="1" thickBot="1">
      <c r="E37" t="inlineStr">
        <is>
          <t>交通費</t>
        </is>
      </c>
      <c r="F37">
        <f>F40*I34</f>
        <v/>
      </c>
      <c r="G37" t="inlineStr">
        <is>
          <t>賄い</t>
        </is>
      </c>
      <c r="H37" s="40">
        <f>H34*300</f>
        <v/>
      </c>
      <c r="L37" s="22" t="inlineStr">
        <is>
          <t>土日祝</t>
        </is>
      </c>
      <c r="M37" s="49">
        <f>SUMIFS(M:M, C:C, "土日祝")</f>
        <v/>
      </c>
      <c r="N37" s="50">
        <f>SUMIFS(N:N, C:C, "土日祝")</f>
        <v/>
      </c>
      <c r="O37" s="50">
        <f>SUMIFS(O:O, C:C, "土日祝")</f>
        <v/>
      </c>
    </row>
    <row r="38" ht="18.6" customHeight="1" thickBot="1">
      <c r="E38" t="inlineStr">
        <is>
          <t>請求額</t>
        </is>
      </c>
      <c r="F38" s="51">
        <f>SUM(F34:F37)</f>
        <v/>
      </c>
      <c r="L38" s="26" t="inlineStr">
        <is>
          <t>(10進法)</t>
        </is>
      </c>
      <c r="M38" s="52">
        <f>ROUNDUP(M37*24,2)</f>
        <v/>
      </c>
      <c r="N38" s="53" t="n"/>
      <c r="O38" s="53" t="n"/>
    </row>
    <row r="39">
      <c r="M39" s="52">
        <f>ROUNDUP(M36*24,2)</f>
        <v/>
      </c>
    </row>
    <row r="40">
      <c r="E40" t="inlineStr">
        <is>
          <t>1日交通費</t>
        </is>
      </c>
      <c r="F40" t="n">
        <v>0</v>
      </c>
      <c r="M40" s="54">
        <f>M38+M39</f>
        <v/>
      </c>
    </row>
    <row r="41">
      <c r="E41" t="inlineStr">
        <is>
          <t>時給</t>
        </is>
      </c>
      <c r="F41" t="n">
        <v>1200</v>
      </c>
    </row>
  </sheetData>
  <autoFilter ref="A1:O34"/>
  <conditionalFormatting sqref="A2:C32">
    <cfRule type="expression" priority="1" dxfId="3">
      <formula>$B2="祝"</formula>
    </cfRule>
    <cfRule type="expression" priority="2" dxfId="4">
      <formula>$B2="土"</formula>
    </cfRule>
    <cfRule type="expression" priority="3" dxfId="3">
      <formula>$B2="日"</formula>
    </cfRule>
    <cfRule type="expression" priority="4" dxfId="2">
      <formula>$B2="土"</formula>
    </cfRule>
    <cfRule type="expression" priority="5" dxfId="1">
      <formula>$B2="土"</formula>
    </cfRule>
    <cfRule type="expression" priority="6" dxfId="0">
      <formula>"B=土"</formula>
    </cfRule>
  </conditionalFormatting>
  <pageMargins left="0.7086614173228347" right="0.7086614173228347" top="0.7480314960629921" bottom="0.7480314960629921" header="0.3149606299212598" footer="0.3149606299212598"/>
  <pageSetup orientation="portrait" paperSize="9" scale="9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Tetsuya Fujimoto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2026-06-02T07:11:16Z</dcterms:modified>
  <cp:lastModifiedBy>ちひろ 伊藤</cp:lastModifiedBy>
</cp:coreProperties>
</file>