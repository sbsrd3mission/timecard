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.docs.live.net/8ef1d1f3ca849450/デスクトップ/"/>
    </mc:Choice>
  </mc:AlternateContent>
  <xr:revisionPtr revIDLastSave="8" documentId="8_{777F80A9-0B90-AD48-A2DB-3DBD8B65CF8C}" xr6:coauthVersionLast="47" xr6:coauthVersionMax="47" xr10:uidLastSave="{64C8D658-BE9E-4F3C-AFDF-AC2BD74A9A37}"/>
  <bookViews>
    <workbookView xWindow="-108" yWindow="-108" windowWidth="23256" windowHeight="13896" tabRatio="648" activeTab="1" xr2:uid="{00000000-000D-0000-FFFF-FFFF00000000}"/>
  </bookViews>
  <sheets>
    <sheet name="祝日" sheetId="17" r:id="rId1"/>
    <sheet name="氏名入力" sheetId="18" r:id="rId2"/>
  </sheets>
  <definedNames>
    <definedName name="_xlnm._FilterDatabase" localSheetId="1" hidden="1">氏名入力!$A$1:$O$34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8" i="18" l="1"/>
  <c r="F36" i="18"/>
  <c r="K4" i="18"/>
  <c r="L4" i="18"/>
  <c r="M4" i="18"/>
  <c r="K5" i="18"/>
  <c r="L5" i="18"/>
  <c r="M5" i="18"/>
  <c r="K6" i="18"/>
  <c r="L6" i="18"/>
  <c r="M6" i="18"/>
  <c r="K7" i="18"/>
  <c r="L7" i="18"/>
  <c r="M7" i="18"/>
  <c r="K8" i="18"/>
  <c r="L8" i="18"/>
  <c r="M8" i="18"/>
  <c r="K9" i="18"/>
  <c r="L9" i="18"/>
  <c r="M9" i="18"/>
  <c r="K10" i="18"/>
  <c r="L10" i="18"/>
  <c r="M10" i="18"/>
  <c r="K11" i="18"/>
  <c r="L11" i="18"/>
  <c r="M11" i="18"/>
  <c r="K12" i="18"/>
  <c r="L12" i="18"/>
  <c r="M12" i="18"/>
  <c r="K13" i="18"/>
  <c r="L13" i="18"/>
  <c r="M13" i="18"/>
  <c r="K14" i="18"/>
  <c r="L14" i="18"/>
  <c r="M14" i="18"/>
  <c r="K15" i="18"/>
  <c r="L15" i="18"/>
  <c r="M15" i="18"/>
  <c r="K16" i="18"/>
  <c r="L16" i="18"/>
  <c r="M16" i="18"/>
  <c r="K17" i="18"/>
  <c r="L17" i="18"/>
  <c r="M17" i="18"/>
  <c r="K18" i="18"/>
  <c r="L18" i="18"/>
  <c r="M18" i="18"/>
  <c r="K19" i="18"/>
  <c r="L19" i="18"/>
  <c r="M19" i="18"/>
  <c r="K20" i="18"/>
  <c r="L20" i="18"/>
  <c r="M20" i="18"/>
  <c r="K21" i="18"/>
  <c r="L21" i="18"/>
  <c r="M21" i="18"/>
  <c r="K22" i="18"/>
  <c r="L22" i="18"/>
  <c r="M22" i="18"/>
  <c r="K23" i="18"/>
  <c r="L23" i="18"/>
  <c r="M23" i="18"/>
  <c r="K24" i="18"/>
  <c r="L24" i="18"/>
  <c r="M24" i="18"/>
  <c r="K25" i="18"/>
  <c r="L25" i="18"/>
  <c r="M25" i="18"/>
  <c r="K26" i="18"/>
  <c r="L26" i="18"/>
  <c r="M26" i="18"/>
  <c r="K27" i="18"/>
  <c r="L27" i="18"/>
  <c r="M27" i="18"/>
  <c r="K28" i="18"/>
  <c r="L28" i="18"/>
  <c r="M28" i="18"/>
  <c r="K29" i="18"/>
  <c r="L29" i="18"/>
  <c r="M29" i="18"/>
  <c r="K30" i="18"/>
  <c r="L30" i="18"/>
  <c r="M30" i="18"/>
  <c r="K31" i="18"/>
  <c r="L31" i="18"/>
  <c r="M31" i="18"/>
  <c r="K32" i="18"/>
  <c r="L32" i="18"/>
  <c r="M32" i="18"/>
  <c r="M34" i="18"/>
  <c r="I4" i="18"/>
  <c r="I5" i="18"/>
  <c r="I6" i="18"/>
  <c r="I7" i="18"/>
  <c r="I8" i="18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4" i="18"/>
  <c r="F37" i="18"/>
  <c r="B2" i="18"/>
  <c r="C2" i="18" s="1"/>
  <c r="B6" i="18"/>
  <c r="C6" i="18"/>
  <c r="B7" i="18"/>
  <c r="C7" i="18"/>
  <c r="B8" i="18"/>
  <c r="C8" i="18"/>
  <c r="B9" i="18"/>
  <c r="C9" i="18" s="1"/>
  <c r="B10" i="18"/>
  <c r="C10" i="18" s="1"/>
  <c r="B11" i="18"/>
  <c r="B12" i="18"/>
  <c r="B13" i="18"/>
  <c r="C13" i="18"/>
  <c r="B14" i="18"/>
  <c r="C14" i="18"/>
  <c r="B15" i="18"/>
  <c r="C15" i="18" s="1"/>
  <c r="B16" i="18"/>
  <c r="C16" i="18"/>
  <c r="B17" i="18"/>
  <c r="B18" i="18"/>
  <c r="B19" i="18"/>
  <c r="C19" i="18"/>
  <c r="B20" i="18"/>
  <c r="C20" i="18" s="1"/>
  <c r="B21" i="18"/>
  <c r="C21" i="18" s="1"/>
  <c r="B22" i="18"/>
  <c r="C22" i="18"/>
  <c r="B23" i="18"/>
  <c r="C23" i="18"/>
  <c r="B24" i="18"/>
  <c r="C24" i="18"/>
  <c r="B25" i="18"/>
  <c r="C25" i="18" s="1"/>
  <c r="B26" i="18"/>
  <c r="C26" i="18" s="1"/>
  <c r="B27" i="18"/>
  <c r="B28" i="18"/>
  <c r="C28" i="18"/>
  <c r="B29" i="18"/>
  <c r="C29" i="18" s="1"/>
  <c r="B30" i="18"/>
  <c r="C30" i="18"/>
  <c r="B31" i="18"/>
  <c r="C31" i="18"/>
  <c r="H34" i="18"/>
  <c r="H37" i="18"/>
  <c r="O32" i="18"/>
  <c r="N32" i="18"/>
  <c r="B32" i="18"/>
  <c r="C32" i="18"/>
  <c r="O31" i="18"/>
  <c r="O30" i="18"/>
  <c r="O29" i="18"/>
  <c r="O28" i="18"/>
  <c r="O27" i="18"/>
  <c r="C27" i="18"/>
  <c r="O26" i="18"/>
  <c r="O25" i="18"/>
  <c r="O24" i="18"/>
  <c r="O23" i="18"/>
  <c r="O22" i="18"/>
  <c r="O21" i="18"/>
  <c r="N21" i="18"/>
  <c r="O20" i="18"/>
  <c r="O19" i="18"/>
  <c r="O18" i="18"/>
  <c r="C18" i="18"/>
  <c r="O17" i="18"/>
  <c r="N17" i="18"/>
  <c r="C17" i="18"/>
  <c r="O16" i="18"/>
  <c r="O15" i="18"/>
  <c r="O14" i="18"/>
  <c r="O13" i="18"/>
  <c r="O12" i="18"/>
  <c r="C12" i="18"/>
  <c r="O11" i="18"/>
  <c r="C11" i="18"/>
  <c r="O10" i="18"/>
  <c r="O9" i="18"/>
  <c r="O8" i="18"/>
  <c r="O7" i="18"/>
  <c r="N7" i="18"/>
  <c r="O6" i="18"/>
  <c r="O5" i="18"/>
  <c r="N5" i="18"/>
  <c r="B5" i="18"/>
  <c r="C5" i="18"/>
  <c r="O4" i="18"/>
  <c r="B4" i="18"/>
  <c r="C4" i="18"/>
  <c r="O3" i="18"/>
  <c r="K3" i="18"/>
  <c r="I3" i="18"/>
  <c r="L3" i="18"/>
  <c r="M3" i="18"/>
  <c r="N3" i="18"/>
  <c r="B3" i="18"/>
  <c r="C3" i="18"/>
  <c r="O2" i="18"/>
  <c r="K2" i="18"/>
  <c r="L2" i="18"/>
  <c r="M2" i="18"/>
  <c r="N13" i="18"/>
  <c r="N16" i="18"/>
  <c r="N20" i="18"/>
  <c r="N29" i="18"/>
  <c r="N30" i="18"/>
  <c r="N31" i="18"/>
  <c r="N22" i="18"/>
  <c r="N15" i="18"/>
  <c r="N14" i="18"/>
  <c r="N11" i="18"/>
  <c r="I2" i="18"/>
  <c r="N26" i="18"/>
  <c r="N9" i="18"/>
  <c r="N24" i="18"/>
  <c r="N28" i="18"/>
  <c r="N23" i="18"/>
  <c r="N6" i="18"/>
  <c r="O34" i="18"/>
  <c r="N2" i="18"/>
  <c r="N4" i="18"/>
  <c r="N10" i="18"/>
  <c r="L34" i="18"/>
  <c r="N27" i="18"/>
  <c r="K34" i="18"/>
  <c r="N12" i="18"/>
  <c r="N18" i="18"/>
  <c r="N25" i="18"/>
  <c r="N19" i="18"/>
  <c r="N8" i="18"/>
  <c r="N34" i="18"/>
  <c r="M37" i="18" l="1"/>
  <c r="M38" i="18" s="1"/>
  <c r="M36" i="18"/>
  <c r="M39" i="18" s="1"/>
  <c r="N37" i="18"/>
  <c r="O36" i="18"/>
  <c r="O37" i="18"/>
  <c r="N36" i="18"/>
  <c r="M40" i="18" l="1"/>
</calcChain>
</file>

<file path=xl/sharedStrings.xml><?xml version="1.0" encoding="utf-8"?>
<sst xmlns="http://schemas.openxmlformats.org/spreadsheetml/2006/main" count="49" uniqueCount="43">
  <si>
    <t>元日</t>
  </si>
  <si>
    <t>成人の日</t>
  </si>
  <si>
    <t>建国記念の日</t>
  </si>
  <si>
    <t>天皇誕生日</t>
  </si>
  <si>
    <t>振替休日</t>
  </si>
  <si>
    <t>春分の日</t>
  </si>
  <si>
    <t>昭和の日</t>
  </si>
  <si>
    <t>憲法記念日</t>
  </si>
  <si>
    <t>みどりの日</t>
  </si>
  <si>
    <t>こどもの日</t>
  </si>
  <si>
    <t>海の日</t>
  </si>
  <si>
    <t>山の日</t>
  </si>
  <si>
    <t>敬老の日</t>
  </si>
  <si>
    <t>秋分の日</t>
  </si>
  <si>
    <t>スポーツの日</t>
  </si>
  <si>
    <t>文化の日</t>
  </si>
  <si>
    <t>勤労感謝の日</t>
  </si>
  <si>
    <t>曜日</t>
    <rPh sb="0" eb="2">
      <t>ヨウビ</t>
    </rPh>
    <phoneticPr fontId="1"/>
  </si>
  <si>
    <t>土日祝</t>
    <rPh sb="0" eb="3">
      <t>ドニチシュク</t>
    </rPh>
    <phoneticPr fontId="1"/>
  </si>
  <si>
    <t>出勤</t>
    <rPh sb="0" eb="2">
      <t>シュッキン</t>
    </rPh>
    <phoneticPr fontId="1"/>
  </si>
  <si>
    <t>休憩開始</t>
    <rPh sb="0" eb="2">
      <t>キュウケイ</t>
    </rPh>
    <rPh sb="2" eb="4">
      <t>カイシ</t>
    </rPh>
    <phoneticPr fontId="1"/>
  </si>
  <si>
    <t>休憩終了</t>
    <rPh sb="0" eb="2">
      <t>キュウケイ</t>
    </rPh>
    <rPh sb="2" eb="4">
      <t>シュウリョウ</t>
    </rPh>
    <phoneticPr fontId="1"/>
  </si>
  <si>
    <t>退勤</t>
    <rPh sb="0" eb="2">
      <t>タイキン</t>
    </rPh>
    <phoneticPr fontId="1"/>
  </si>
  <si>
    <t>賄い</t>
    <rPh sb="0" eb="1">
      <t>マカナ</t>
    </rPh>
    <phoneticPr fontId="1"/>
  </si>
  <si>
    <t>日数</t>
    <rPh sb="0" eb="2">
      <t>ニッスウ</t>
    </rPh>
    <phoneticPr fontId="1"/>
  </si>
  <si>
    <t>勤務時間</t>
    <rPh sb="0" eb="4">
      <t>キンムジカン</t>
    </rPh>
    <phoneticPr fontId="1"/>
  </si>
  <si>
    <t>休憩</t>
    <rPh sb="0" eb="2">
      <t>キュウケイ</t>
    </rPh>
    <phoneticPr fontId="1"/>
  </si>
  <si>
    <t>計算時間</t>
    <rPh sb="0" eb="2">
      <t>ケイサン</t>
    </rPh>
    <rPh sb="2" eb="4">
      <t>ジカン</t>
    </rPh>
    <phoneticPr fontId="1"/>
  </si>
  <si>
    <t>超過時間</t>
    <rPh sb="0" eb="2">
      <t>チョウカ</t>
    </rPh>
    <rPh sb="2" eb="4">
      <t>ジカン</t>
    </rPh>
    <phoneticPr fontId="1"/>
  </si>
  <si>
    <t>深夜時間</t>
    <rPh sb="0" eb="2">
      <t>シニャ</t>
    </rPh>
    <rPh sb="2" eb="4">
      <t>ジカン</t>
    </rPh>
    <phoneticPr fontId="1"/>
  </si>
  <si>
    <t>備考</t>
    <rPh sb="0" eb="2">
      <t>ビコウ</t>
    </rPh>
    <phoneticPr fontId="1"/>
  </si>
  <si>
    <t>回数</t>
    <rPh sb="0" eb="2">
      <t>カイスウ</t>
    </rPh>
    <phoneticPr fontId="1"/>
  </si>
  <si>
    <t>時間</t>
    <rPh sb="0" eb="2">
      <t>ジカン</t>
    </rPh>
    <phoneticPr fontId="1"/>
  </si>
  <si>
    <t>8時間超</t>
    <rPh sb="1" eb="3">
      <t>ジカン</t>
    </rPh>
    <rPh sb="3" eb="4">
      <t>コ</t>
    </rPh>
    <phoneticPr fontId="1"/>
  </si>
  <si>
    <t>手当</t>
    <rPh sb="0" eb="2">
      <t>テアテ</t>
    </rPh>
    <phoneticPr fontId="1"/>
  </si>
  <si>
    <t>平日</t>
    <rPh sb="0" eb="2">
      <t>ヘイジツ</t>
    </rPh>
    <phoneticPr fontId="1"/>
  </si>
  <si>
    <t>交通費</t>
    <rPh sb="0" eb="3">
      <t>コウツウヒ</t>
    </rPh>
    <phoneticPr fontId="1"/>
  </si>
  <si>
    <t>土日祝</t>
    <rPh sb="0" eb="2">
      <t>ドニチ</t>
    </rPh>
    <rPh sb="2" eb="3">
      <t>シュク</t>
    </rPh>
    <phoneticPr fontId="1"/>
  </si>
  <si>
    <t>(10進法)</t>
    <rPh sb="3" eb="5">
      <t>シンホウ</t>
    </rPh>
    <phoneticPr fontId="1"/>
  </si>
  <si>
    <t>1日交通費</t>
    <rPh sb="1" eb="2">
      <t>ニチ</t>
    </rPh>
    <rPh sb="2" eb="5">
      <t>コウツウヒ</t>
    </rPh>
    <phoneticPr fontId="1"/>
  </si>
  <si>
    <t>報酬</t>
  </si>
  <si>
    <t>請求額</t>
  </si>
  <si>
    <t>時給</t>
    <rPh sb="0" eb="2">
      <t>ジキュウ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</si>
</sst>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h:mm;@"/>
    <numFmt numFmtId="177" formatCode="[h]:mm"/>
    <numFmt numFmtId="178" formatCode="0_);[Red]\(0\)"/>
    <numFmt numFmtId="179" formatCode="#,##0_ "/>
    <numFmt numFmtId="180" formatCode="0.00_);[Red]\(0.00\)"/>
  </numFmts>
  <fonts count="10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color theme="4"/>
      <name val="Yu Gothic"/>
      <family val="3"/>
      <charset val="128"/>
      <scheme val="minor"/>
    </font>
    <font>
      <b/>
      <sz val="11"/>
      <color theme="4"/>
      <name val="Yu Gothic"/>
      <family val="3"/>
      <charset val="128"/>
      <scheme val="minor"/>
    </font>
    <font>
      <sz val="11"/>
      <color rgb="FFFF0000"/>
      <name val="Yu Gothic"/>
      <family val="3"/>
      <charset val="128"/>
      <scheme val="minor"/>
    </font>
    <font>
      <b/>
      <sz val="11"/>
      <color rgb="FFFF0000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9"/>
      <color theme="1"/>
      <name val="Yu Gothic"/>
      <family val="3"/>
      <charset val="128"/>
      <scheme val="minor"/>
    </font>
    <font>
      <b/>
      <sz val="9"/>
      <color theme="1"/>
      <name val="Yu Gothic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176" fontId="0" fillId="0" borderId="0" xfId="0" applyNumberFormat="1"/>
    <xf numFmtId="177" fontId="0" fillId="0" borderId="0" xfId="0" applyNumberFormat="1"/>
    <xf numFmtId="178" fontId="0" fillId="0" borderId="0" xfId="0" applyNumberFormat="1"/>
    <xf numFmtId="0" fontId="0" fillId="0" borderId="0" xfId="0" applyAlignment="1">
      <alignment horizontal="center"/>
    </xf>
    <xf numFmtId="178" fontId="0" fillId="0" borderId="0" xfId="0" applyNumberFormat="1" applyAlignment="1">
      <alignment horizontal="center"/>
    </xf>
    <xf numFmtId="176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176" fontId="0" fillId="0" borderId="0" xfId="0" applyNumberFormat="1" applyAlignment="1">
      <alignment horizontal="right"/>
    </xf>
    <xf numFmtId="178" fontId="2" fillId="0" borderId="1" xfId="0" applyNumberFormat="1" applyFont="1" applyBorder="1"/>
    <xf numFmtId="0" fontId="0" fillId="2" borderId="0" xfId="0" applyFill="1" applyAlignment="1">
      <alignment horizontal="center"/>
    </xf>
    <xf numFmtId="176" fontId="0" fillId="2" borderId="0" xfId="0" applyNumberFormat="1" applyFill="1"/>
    <xf numFmtId="20" fontId="0" fillId="2" borderId="0" xfId="0" applyNumberFormat="1" applyFill="1"/>
    <xf numFmtId="177" fontId="2" fillId="0" borderId="1" xfId="0" applyNumberFormat="1" applyFont="1" applyBorder="1"/>
    <xf numFmtId="179" fontId="2" fillId="0" borderId="1" xfId="0" applyNumberFormat="1" applyFont="1" applyBorder="1"/>
    <xf numFmtId="178" fontId="2" fillId="0" borderId="0" xfId="0" applyNumberFormat="1" applyFont="1"/>
    <xf numFmtId="0" fontId="0" fillId="3" borderId="0" xfId="0" applyFill="1" applyAlignment="1">
      <alignment horizontal="center"/>
    </xf>
    <xf numFmtId="0" fontId="0" fillId="3" borderId="0" xfId="0" applyFill="1"/>
    <xf numFmtId="14" fontId="0" fillId="0" borderId="0" xfId="0" applyNumberFormat="1"/>
    <xf numFmtId="14" fontId="0" fillId="5" borderId="0" xfId="0" applyNumberFormat="1" applyFill="1"/>
    <xf numFmtId="0" fontId="0" fillId="5" borderId="0" xfId="0" applyFill="1"/>
    <xf numFmtId="0" fontId="3" fillId="4" borderId="3" xfId="0" applyFont="1" applyFill="1" applyBorder="1" applyAlignment="1">
      <alignment horizontal="right"/>
    </xf>
    <xf numFmtId="0" fontId="5" fillId="3" borderId="5" xfId="0" applyFont="1" applyFill="1" applyBorder="1" applyAlignment="1">
      <alignment horizontal="right"/>
    </xf>
    <xf numFmtId="177" fontId="4" fillId="4" borderId="4" xfId="0" applyNumberFormat="1" applyFont="1" applyFill="1" applyBorder="1"/>
    <xf numFmtId="177" fontId="6" fillId="3" borderId="6" xfId="0" applyNumberFormat="1" applyFont="1" applyFill="1" applyBorder="1"/>
    <xf numFmtId="178" fontId="7" fillId="0" borderId="0" xfId="0" applyNumberFormat="1" applyFont="1"/>
    <xf numFmtId="0" fontId="8" fillId="0" borderId="0" xfId="0" applyFont="1" applyAlignment="1">
      <alignment horizontal="right"/>
    </xf>
    <xf numFmtId="180" fontId="8" fillId="0" borderId="0" xfId="0" applyNumberFormat="1" applyFont="1"/>
    <xf numFmtId="177" fontId="7" fillId="0" borderId="2" xfId="0" applyNumberFormat="1" applyFont="1" applyBorder="1"/>
    <xf numFmtId="177" fontId="3" fillId="4" borderId="4" xfId="0" applyNumberFormat="1" applyFont="1" applyFill="1" applyBorder="1"/>
    <xf numFmtId="177" fontId="5" fillId="3" borderId="6" xfId="0" applyNumberFormat="1" applyFont="1" applyFill="1" applyBorder="1"/>
    <xf numFmtId="180" fontId="9" fillId="0" borderId="0" xfId="0" applyNumberFormat="1" applyFont="1"/>
    <xf numFmtId="179" fontId="0" fillId="0" borderId="1" xfId="0" applyNumberFormat="1" applyBorder="1"/>
    <xf numFmtId="180" fontId="0" fillId="0" borderId="0" xfId="0" applyNumberFormat="1"/>
  </cellXfs>
  <cellStyles count="1">
    <cellStyle name="標準" xfId="0" builtinId="0"/>
  </cellStyles>
  <dxfs count="6"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1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theme="4"/>
      </font>
      <fill>
        <patternFill>
          <bgColor theme="4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1925-6C86-4661-BA18-7F4D940874F3}">
  <sheetPr>
    <tabColor rgb="FF00B050"/>
  </sheetPr>
  <dimension ref="A1:B19"/>
  <sheetViews>
    <sheetView workbookViewId="0">
      <selection activeCell="D15" sqref="D15"/>
    </sheetView>
  </sheetViews>
  <sheetFormatPr defaultRowHeight="18"/>
  <cols>
    <col min="1" max="1" width="11.3984375" bestFit="1" customWidth="1"/>
  </cols>
  <sheetData>
    <row r="1" spans="1:2">
      <c r="A1" s="19">
        <v>45658</v>
      </c>
      <c r="B1" s="20" t="s">
        <v>0</v>
      </c>
    </row>
    <row r="2" spans="1:2">
      <c r="A2" s="19">
        <v>45670</v>
      </c>
      <c r="B2" s="20" t="s">
        <v>1</v>
      </c>
    </row>
    <row r="3" spans="1:2">
      <c r="A3" s="19">
        <v>45699</v>
      </c>
      <c r="B3" s="20" t="s">
        <v>2</v>
      </c>
    </row>
    <row r="4" spans="1:2">
      <c r="A4" s="19">
        <v>45711</v>
      </c>
      <c r="B4" s="20" t="s">
        <v>3</v>
      </c>
    </row>
    <row r="5" spans="1:2">
      <c r="A5" s="19">
        <v>45712</v>
      </c>
      <c r="B5" s="20" t="s">
        <v>4</v>
      </c>
    </row>
    <row r="6" spans="1:2">
      <c r="A6" s="19">
        <v>45736</v>
      </c>
      <c r="B6" s="20" t="s">
        <v>5</v>
      </c>
    </row>
    <row r="7" spans="1:2">
      <c r="A7" s="19">
        <v>45776</v>
      </c>
      <c r="B7" s="20" t="s">
        <v>6</v>
      </c>
    </row>
    <row r="8" spans="1:2">
      <c r="A8" s="19">
        <v>45780</v>
      </c>
      <c r="B8" s="20" t="s">
        <v>7</v>
      </c>
    </row>
    <row r="9" spans="1:2">
      <c r="A9" s="19">
        <v>45781</v>
      </c>
      <c r="B9" s="20" t="s">
        <v>8</v>
      </c>
    </row>
    <row r="10" spans="1:2">
      <c r="A10" s="19">
        <v>45782</v>
      </c>
      <c r="B10" s="20" t="s">
        <v>9</v>
      </c>
    </row>
    <row r="11" spans="1:2">
      <c r="A11" s="19">
        <v>45783</v>
      </c>
      <c r="B11" s="20" t="s">
        <v>4</v>
      </c>
    </row>
    <row r="12" spans="1:2">
      <c r="A12" s="18">
        <v>45859</v>
      </c>
      <c r="B12" t="s">
        <v>10</v>
      </c>
    </row>
    <row r="13" spans="1:2">
      <c r="A13" s="18">
        <v>45880</v>
      </c>
      <c r="B13" t="s">
        <v>11</v>
      </c>
    </row>
    <row r="14" spans="1:2">
      <c r="A14" s="18">
        <v>45915</v>
      </c>
      <c r="B14" t="s">
        <v>12</v>
      </c>
    </row>
    <row r="15" spans="1:2">
      <c r="A15" s="18">
        <v>45923</v>
      </c>
      <c r="B15" t="s">
        <v>13</v>
      </c>
    </row>
    <row r="16" spans="1:2">
      <c r="A16" s="18">
        <v>45943</v>
      </c>
      <c r="B16" t="s">
        <v>14</v>
      </c>
    </row>
    <row r="17" spans="1:2">
      <c r="A17" s="18">
        <v>45964</v>
      </c>
      <c r="B17" t="s">
        <v>15</v>
      </c>
    </row>
    <row r="18" spans="1:2">
      <c r="A18" s="18">
        <v>45984</v>
      </c>
      <c r="B18" t="s">
        <v>16</v>
      </c>
    </row>
    <row r="19" spans="1:2">
      <c r="A19" s="18">
        <v>45985</v>
      </c>
      <c r="B19" t="s">
        <v>4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779B5-23A3-4B2F-9BEB-68B5C8DFBC22}">
  <sheetPr>
    <tabColor rgb="FFFF0000"/>
  </sheetPr>
  <dimension ref="A1:Q41"/>
  <sheetViews>
    <sheetView tabSelected="1" topLeftCell="A10" zoomScale="76" zoomScaleNormal="100" workbookViewId="0">
      <selection activeCell="H40" sqref="H40"/>
    </sheetView>
  </sheetViews>
  <sheetFormatPr defaultRowHeight="18"/>
  <cols>
    <col min="1" max="1" width="10.8984375" bestFit="1" customWidth="1"/>
    <col min="2" max="2" width="5.09765625" bestFit="1" customWidth="1"/>
    <col min="3" max="3" width="8.09765625" customWidth="1"/>
    <col min="4" max="4" width="6" bestFit="1" customWidth="1"/>
    <col min="5" max="6" width="8.8984375" bestFit="1" customWidth="1"/>
    <col min="7" max="7" width="6" bestFit="1" customWidth="1"/>
    <col min="8" max="8" width="6.3984375" customWidth="1"/>
    <col min="9" max="9" width="5.09765625" style="3" bestFit="1" customWidth="1"/>
    <col min="10" max="10" width="3.09765625" style="3" customWidth="1"/>
    <col min="12" max="12" width="7.09765625" style="7" bestFit="1" customWidth="1"/>
    <col min="13" max="13" width="10" bestFit="1" customWidth="1"/>
    <col min="14" max="14" width="9.09765625" style="1" bestFit="1" customWidth="1"/>
    <col min="15" max="15" width="9.09765625" bestFit="1" customWidth="1"/>
    <col min="16" max="16" width="4.5" customWidth="1"/>
  </cols>
  <sheetData>
    <row r="1" spans="1:17" s="4" customFormat="1">
      <c r="B1" t="s">
        <v>17</v>
      </c>
      <c r="C1" t="s">
        <v>18</v>
      </c>
      <c r="D1" s="10" t="s">
        <v>19</v>
      </c>
      <c r="E1" s="10" t="s">
        <v>20</v>
      </c>
      <c r="F1" s="10" t="s">
        <v>21</v>
      </c>
      <c r="G1" s="10" t="s">
        <v>22</v>
      </c>
      <c r="H1" s="16" t="s">
        <v>23</v>
      </c>
      <c r="I1" s="5" t="s">
        <v>24</v>
      </c>
      <c r="J1" s="5"/>
      <c r="K1" s="4" t="s">
        <v>25</v>
      </c>
      <c r="L1" s="7" t="s">
        <v>26</v>
      </c>
      <c r="M1" s="4" t="s">
        <v>27</v>
      </c>
      <c r="N1" s="6" t="s">
        <v>28</v>
      </c>
      <c r="O1" s="4" t="s">
        <v>29</v>
      </c>
      <c r="Q1" s="4" t="s">
        <v>30</v>
      </c>
    </row>
    <row r="2" spans="1:17">
      <c r="A2" s="18">
        <v>46023</v>
      </c>
      <c r="B2" t="str">
        <f>TEXT(A2, "aaa")</f>
        <v>木</v>
      </c>
      <c r="C2" t="str">
        <f t="shared" ref="C2:C3" si="0">IF(OR(B2="土", B2="日", B2="祝"), "土日祝", "平日")</f>
        <v>平日</v>
      </c>
      <c r="D2" s="11"/>
      <c r="E2" s="11"/>
      <c r="F2" s="11"/>
      <c r="G2" s="11"/>
      <c r="H2" s="17"/>
      <c r="I2" s="3">
        <f t="shared" ref="I2:I32" si="1">IF(K2&gt;0,1,0)</f>
        <v>0</v>
      </c>
      <c r="K2" s="1">
        <f t="shared" ref="K2:K32" si="2">G2-D2-(F2-E2)</f>
        <v>0</v>
      </c>
      <c r="L2" s="8">
        <f>IF(K2&gt;TIME(5,59,0),TIME(0,30,0),0)</f>
        <v>0</v>
      </c>
      <c r="M2" s="1">
        <f>K2-L2</f>
        <v>0</v>
      </c>
      <c r="N2" s="1">
        <f>IF(M2&gt;=TIME(8,0,0),M2-TIME(8,0,0),0)</f>
        <v>0</v>
      </c>
      <c r="O2" s="1">
        <f>"5:00"-MIN(D2,"5:00")+MAX((G2&lt;D2)+G2,"22:00")-"22:00"</f>
        <v>0</v>
      </c>
    </row>
    <row r="3" spans="1:17">
      <c r="A3" s="18">
        <v>46024</v>
      </c>
      <c r="B3" t="str">
        <f t="shared" ref="B3:B32" si="3">TEXT(A3, "aaa")</f>
        <v>金</v>
      </c>
      <c r="C3" t="str">
        <f t="shared" si="0"/>
        <v>平日</v>
      </c>
      <c r="D3" s="11"/>
      <c r="E3" s="11"/>
      <c r="F3" s="11"/>
      <c r="G3" s="11"/>
      <c r="H3" s="17"/>
      <c r="I3" s="3">
        <f t="shared" si="1"/>
        <v>0</v>
      </c>
      <c r="K3" s="1">
        <f t="shared" si="2"/>
        <v>0</v>
      </c>
      <c r="L3" s="8">
        <f t="shared" ref="L3:L32" si="4">IF(K3&gt;TIME(5,59,0),TIME(0,30,0),0)</f>
        <v>0</v>
      </c>
      <c r="M3" s="1">
        <f t="shared" ref="M3:M32" si="5">K3-L3</f>
        <v>0</v>
      </c>
      <c r="N3" s="1">
        <f t="shared" ref="N3:N32" si="6">IF(M3&gt;=TIME(8,0,0),M3-TIME(8,0,0),0)</f>
        <v>0</v>
      </c>
      <c r="O3" s="1">
        <f t="shared" ref="O3:O32" si="7">"5:00"-MIN(D3,"5:00")+MAX((G3&lt;D3)+G3,"22:00")-"22:00"</f>
        <v>0</v>
      </c>
    </row>
    <row r="4" spans="1:17">
      <c r="A4" s="18">
        <v>46025</v>
      </c>
      <c r="B4" t="str">
        <f t="shared" si="3"/>
        <v>土</v>
      </c>
      <c r="C4" t="str">
        <f>IF(OR(B4="土", B4="日", B4="祝"), "土日祝", "平日")</f>
        <v>土日祝</v>
      </c>
      <c r="D4" s="11"/>
      <c r="E4" s="11"/>
      <c r="F4" s="11"/>
      <c r="G4" s="11"/>
      <c r="H4" s="17"/>
      <c r="I4" s="3">
        <f t="shared" si="1"/>
        <v>0</v>
      </c>
      <c r="K4" s="1">
        <f t="shared" si="2"/>
        <v>0</v>
      </c>
      <c r="L4" s="8">
        <f t="shared" si="4"/>
        <v>0</v>
      </c>
      <c r="M4" s="1">
        <f t="shared" si="5"/>
        <v>0</v>
      </c>
      <c r="N4" s="1">
        <f t="shared" si="6"/>
        <v>0</v>
      </c>
      <c r="O4" s="1">
        <f t="shared" si="7"/>
        <v>0</v>
      </c>
    </row>
    <row r="5" spans="1:17">
      <c r="A5" s="18">
        <v>46026</v>
      </c>
      <c r="B5" t="str">
        <f t="shared" si="3"/>
        <v>日</v>
      </c>
      <c r="C5" t="str">
        <f t="shared" ref="C5:C32" si="8">IF(OR(B5="土", B5="日", B5="祝"), "土日祝", "平日")</f>
        <v>土日祝</v>
      </c>
      <c r="D5" s="12"/>
      <c r="E5" s="11"/>
      <c r="F5" s="11"/>
      <c r="G5" s="11"/>
      <c r="H5" s="17"/>
      <c r="I5" s="3">
        <f t="shared" si="1"/>
        <v>0</v>
      </c>
      <c r="K5" s="1">
        <f t="shared" si="2"/>
        <v>0</v>
      </c>
      <c r="L5" s="8">
        <f t="shared" si="4"/>
        <v>0</v>
      </c>
      <c r="M5" s="1">
        <f t="shared" si="5"/>
        <v>0</v>
      </c>
      <c r="N5" s="1">
        <f t="shared" si="6"/>
        <v>0</v>
      </c>
      <c r="O5" s="1">
        <f t="shared" si="7"/>
        <v>0</v>
      </c>
    </row>
    <row r="6" spans="1:17">
      <c r="A6" s="18">
        <v>46027</v>
      </c>
      <c r="B6" t="str">
        <f t="shared" si="3"/>
        <v>月</v>
      </c>
      <c r="C6" t="str">
        <f t="shared" si="8"/>
        <v>平日</v>
      </c>
      <c r="D6" s="11"/>
      <c r="E6" s="11"/>
      <c r="F6" s="11"/>
      <c r="G6" s="11"/>
      <c r="H6" s="17"/>
      <c r="I6" s="3">
        <f t="shared" si="1"/>
        <v>0</v>
      </c>
      <c r="K6" s="1">
        <f t="shared" si="2"/>
        <v>0</v>
      </c>
      <c r="L6" s="8">
        <f t="shared" si="4"/>
        <v>0</v>
      </c>
      <c r="M6" s="1">
        <f t="shared" si="5"/>
        <v>0</v>
      </c>
      <c r="N6" s="1">
        <f t="shared" si="6"/>
        <v>0</v>
      </c>
      <c r="O6" s="1">
        <f t="shared" si="7"/>
        <v>0</v>
      </c>
    </row>
    <row r="7" spans="1:17">
      <c r="A7" s="18">
        <v>46028</v>
      </c>
      <c r="B7" t="str">
        <f t="shared" si="3"/>
        <v>火</v>
      </c>
      <c r="C7" t="str">
        <f t="shared" si="8"/>
        <v>平日</v>
      </c>
      <c r="D7" s="11"/>
      <c r="E7" s="11"/>
      <c r="F7" s="11"/>
      <c r="G7" s="11"/>
      <c r="H7" s="17"/>
      <c r="I7" s="3">
        <f t="shared" si="1"/>
        <v>0</v>
      </c>
      <c r="K7" s="1">
        <f t="shared" si="2"/>
        <v>0</v>
      </c>
      <c r="L7" s="8">
        <f t="shared" si="4"/>
        <v>0</v>
      </c>
      <c r="M7" s="1">
        <f t="shared" si="5"/>
        <v>0</v>
      </c>
      <c r="N7" s="1">
        <f t="shared" si="6"/>
        <v>0</v>
      </c>
      <c r="O7" s="1">
        <f t="shared" si="7"/>
        <v>0</v>
      </c>
    </row>
    <row r="8" spans="1:17">
      <c r="A8" s="18">
        <v>46029</v>
      </c>
      <c r="B8" t="str">
        <f t="shared" si="3"/>
        <v>水</v>
      </c>
      <c r="C8" t="str">
        <f t="shared" si="8"/>
        <v>平日</v>
      </c>
      <c r="D8" s="11"/>
      <c r="E8" s="11"/>
      <c r="F8" s="11"/>
      <c r="G8" s="11"/>
      <c r="H8" s="17"/>
      <c r="I8" s="3">
        <f t="shared" si="1"/>
        <v>0</v>
      </c>
      <c r="K8" s="1">
        <f t="shared" si="2"/>
        <v>0</v>
      </c>
      <c r="L8" s="8">
        <f t="shared" si="4"/>
        <v>0</v>
      </c>
      <c r="M8" s="1">
        <f t="shared" si="5"/>
        <v>0</v>
      </c>
      <c r="N8" s="1">
        <f t="shared" si="6"/>
        <v>0</v>
      </c>
      <c r="O8" s="1">
        <f t="shared" si="7"/>
        <v>0</v>
      </c>
    </row>
    <row r="9" spans="1:17">
      <c r="A9" s="18">
        <v>46030</v>
      </c>
      <c r="B9" t="str">
        <f t="shared" si="3"/>
        <v>木</v>
      </c>
      <c r="C9" t="str">
        <f t="shared" si="8"/>
        <v>平日</v>
      </c>
      <c r="D9" s="11"/>
      <c r="E9" s="11"/>
      <c r="F9" s="11"/>
      <c r="G9" s="11"/>
      <c r="H9" s="17"/>
      <c r="I9" s="3">
        <f t="shared" si="1"/>
        <v>0</v>
      </c>
      <c r="K9" s="1">
        <f t="shared" si="2"/>
        <v>0</v>
      </c>
      <c r="L9" s="8">
        <f t="shared" si="4"/>
        <v>0</v>
      </c>
      <c r="M9" s="1">
        <f t="shared" si="5"/>
        <v>0</v>
      </c>
      <c r="N9" s="1">
        <f t="shared" si="6"/>
        <v>0</v>
      </c>
      <c r="O9" s="1">
        <f t="shared" si="7"/>
        <v>0</v>
      </c>
    </row>
    <row r="10" spans="1:17">
      <c r="A10" s="18">
        <v>46031</v>
      </c>
      <c r="B10" t="str">
        <f t="shared" si="3"/>
        <v>金</v>
      </c>
      <c r="C10" t="str">
        <f t="shared" si="8"/>
        <v>平日</v>
      </c>
      <c r="D10" s="11"/>
      <c r="E10" s="11"/>
      <c r="F10" s="11"/>
      <c r="G10" s="11"/>
      <c r="H10" s="17"/>
      <c r="I10" s="3">
        <f t="shared" si="1"/>
        <v>0</v>
      </c>
      <c r="K10" s="1">
        <f t="shared" si="2"/>
        <v>0</v>
      </c>
      <c r="L10" s="8">
        <f t="shared" si="4"/>
        <v>0</v>
      </c>
      <c r="M10" s="1">
        <f t="shared" si="5"/>
        <v>0</v>
      </c>
      <c r="N10" s="1">
        <f t="shared" si="6"/>
        <v>0</v>
      </c>
      <c r="O10" s="1">
        <f t="shared" si="7"/>
        <v>0</v>
      </c>
    </row>
    <row r="11" spans="1:17">
      <c r="A11" s="18">
        <v>46032</v>
      </c>
      <c r="B11" t="str">
        <f t="shared" si="3"/>
        <v>土</v>
      </c>
      <c r="C11" t="str">
        <f t="shared" si="8"/>
        <v>土日祝</v>
      </c>
      <c r="D11" s="11"/>
      <c r="E11" s="11"/>
      <c r="F11" s="11"/>
      <c r="G11" s="11"/>
      <c r="H11" s="17"/>
      <c r="I11" s="3">
        <f t="shared" si="1"/>
        <v>0</v>
      </c>
      <c r="K11" s="1">
        <f t="shared" si="2"/>
        <v>0</v>
      </c>
      <c r="L11" s="8">
        <f t="shared" si="4"/>
        <v>0</v>
      </c>
      <c r="M11" s="1">
        <f t="shared" si="5"/>
        <v>0</v>
      </c>
      <c r="N11" s="1">
        <f t="shared" si="6"/>
        <v>0</v>
      </c>
      <c r="O11" s="1">
        <f t="shared" si="7"/>
        <v>0</v>
      </c>
    </row>
    <row r="12" spans="1:17">
      <c r="A12" s="18">
        <v>46033</v>
      </c>
      <c r="B12" t="str">
        <f t="shared" si="3"/>
        <v>日</v>
      </c>
      <c r="C12" t="str">
        <f t="shared" si="8"/>
        <v>土日祝</v>
      </c>
      <c r="D12" s="11"/>
      <c r="E12" s="11"/>
      <c r="F12" s="11"/>
      <c r="G12" s="11"/>
      <c r="H12" s="17"/>
      <c r="I12" s="3">
        <f t="shared" si="1"/>
        <v>0</v>
      </c>
      <c r="K12" s="1">
        <f t="shared" si="2"/>
        <v>0</v>
      </c>
      <c r="L12" s="8">
        <f t="shared" si="4"/>
        <v>0</v>
      </c>
      <c r="M12" s="1">
        <f t="shared" si="5"/>
        <v>0</v>
      </c>
      <c r="N12" s="1">
        <f t="shared" si="6"/>
        <v>0</v>
      </c>
      <c r="O12" s="1">
        <f t="shared" si="7"/>
        <v>0</v>
      </c>
    </row>
    <row r="13" spans="1:17">
      <c r="A13" s="18">
        <v>46034</v>
      </c>
      <c r="B13" t="str">
        <f t="shared" si="3"/>
        <v>月</v>
      </c>
      <c r="C13" t="str">
        <f t="shared" si="8"/>
        <v>平日</v>
      </c>
      <c r="D13" s="11"/>
      <c r="E13" s="11"/>
      <c r="F13" s="11"/>
      <c r="G13" s="11"/>
      <c r="H13" s="17"/>
      <c r="I13" s="3">
        <f t="shared" si="1"/>
        <v>0</v>
      </c>
      <c r="K13" s="1">
        <f t="shared" si="2"/>
        <v>0</v>
      </c>
      <c r="L13" s="8">
        <f t="shared" si="4"/>
        <v>0</v>
      </c>
      <c r="M13" s="1">
        <f t="shared" si="5"/>
        <v>0</v>
      </c>
      <c r="N13" s="1">
        <f t="shared" si="6"/>
        <v>0</v>
      </c>
      <c r="O13" s="1">
        <f t="shared" si="7"/>
        <v>0</v>
      </c>
    </row>
    <row r="14" spans="1:17">
      <c r="A14" s="18">
        <v>46035</v>
      </c>
      <c r="B14" t="str">
        <f t="shared" si="3"/>
        <v>火</v>
      </c>
      <c r="C14" t="str">
        <f t="shared" si="8"/>
        <v>平日</v>
      </c>
      <c r="D14" s="11"/>
      <c r="E14" s="11"/>
      <c r="F14" s="11"/>
      <c r="G14" s="11"/>
      <c r="H14" s="17"/>
      <c r="I14" s="3">
        <f t="shared" si="1"/>
        <v>0</v>
      </c>
      <c r="K14" s="1">
        <f t="shared" si="2"/>
        <v>0</v>
      </c>
      <c r="L14" s="8">
        <f t="shared" si="4"/>
        <v>0</v>
      </c>
      <c r="M14" s="1">
        <f t="shared" si="5"/>
        <v>0</v>
      </c>
      <c r="N14" s="1">
        <f t="shared" si="6"/>
        <v>0</v>
      </c>
      <c r="O14" s="1">
        <f t="shared" si="7"/>
        <v>0</v>
      </c>
    </row>
    <row r="15" spans="1:17">
      <c r="A15" s="18">
        <v>46036</v>
      </c>
      <c r="B15" t="str">
        <f t="shared" si="3"/>
        <v>水</v>
      </c>
      <c r="C15" t="str">
        <f t="shared" si="8"/>
        <v>平日</v>
      </c>
      <c r="D15" s="11"/>
      <c r="E15" s="11"/>
      <c r="F15" s="11"/>
      <c r="G15" s="11"/>
      <c r="H15" s="17"/>
      <c r="I15" s="3">
        <f t="shared" si="1"/>
        <v>0</v>
      </c>
      <c r="K15" s="1">
        <f t="shared" si="2"/>
        <v>0</v>
      </c>
      <c r="L15" s="8">
        <f t="shared" si="4"/>
        <v>0</v>
      </c>
      <c r="M15" s="1">
        <f t="shared" si="5"/>
        <v>0</v>
      </c>
      <c r="N15" s="1">
        <f t="shared" si="6"/>
        <v>0</v>
      </c>
      <c r="O15" s="1">
        <f t="shared" si="7"/>
        <v>0</v>
      </c>
    </row>
    <row r="16" spans="1:17">
      <c r="A16" s="18">
        <v>46037</v>
      </c>
      <c r="B16" t="str">
        <f t="shared" si="3"/>
        <v>木</v>
      </c>
      <c r="C16" t="str">
        <f t="shared" si="8"/>
        <v>平日</v>
      </c>
      <c r="D16" s="11"/>
      <c r="E16" s="11"/>
      <c r="F16" s="11"/>
      <c r="G16" s="11"/>
      <c r="H16" s="17"/>
      <c r="I16" s="3">
        <f t="shared" si="1"/>
        <v>0</v>
      </c>
      <c r="K16" s="1">
        <f t="shared" si="2"/>
        <v>0</v>
      </c>
      <c r="L16" s="8">
        <f t="shared" si="4"/>
        <v>0</v>
      </c>
      <c r="M16" s="1">
        <f t="shared" si="5"/>
        <v>0</v>
      </c>
      <c r="N16" s="1">
        <f t="shared" si="6"/>
        <v>0</v>
      </c>
      <c r="O16" s="1">
        <f t="shared" si="7"/>
        <v>0</v>
      </c>
    </row>
    <row r="17" spans="1:15">
      <c r="A17" s="18">
        <v>46038</v>
      </c>
      <c r="B17" t="str">
        <f t="shared" si="3"/>
        <v>金</v>
      </c>
      <c r="C17" t="str">
        <f t="shared" si="8"/>
        <v>平日</v>
      </c>
      <c r="D17" s="11"/>
      <c r="E17" s="11"/>
      <c r="F17" s="11"/>
      <c r="G17" s="11"/>
      <c r="H17" s="17"/>
      <c r="I17" s="3">
        <f t="shared" si="1"/>
        <v>0</v>
      </c>
      <c r="K17" s="1">
        <f t="shared" si="2"/>
        <v>0</v>
      </c>
      <c r="L17" s="8">
        <f t="shared" si="4"/>
        <v>0</v>
      </c>
      <c r="M17" s="1">
        <f t="shared" si="5"/>
        <v>0</v>
      </c>
      <c r="N17" s="1">
        <f t="shared" si="6"/>
        <v>0</v>
      </c>
      <c r="O17" s="1">
        <f t="shared" si="7"/>
        <v>0</v>
      </c>
    </row>
    <row r="18" spans="1:15">
      <c r="A18" s="18">
        <v>46039</v>
      </c>
      <c r="B18" t="str">
        <f t="shared" si="3"/>
        <v>土</v>
      </c>
      <c r="C18" t="str">
        <f t="shared" si="8"/>
        <v>土日祝</v>
      </c>
      <c r="D18" s="11"/>
      <c r="E18" s="11"/>
      <c r="F18" s="11"/>
      <c r="G18" s="11"/>
      <c r="H18" s="17"/>
      <c r="I18" s="3">
        <f t="shared" si="1"/>
        <v>0</v>
      </c>
      <c r="K18" s="1">
        <f t="shared" si="2"/>
        <v>0</v>
      </c>
      <c r="L18" s="8">
        <f t="shared" si="4"/>
        <v>0</v>
      </c>
      <c r="M18" s="1">
        <f t="shared" si="5"/>
        <v>0</v>
      </c>
      <c r="N18" s="1">
        <f t="shared" si="6"/>
        <v>0</v>
      </c>
      <c r="O18" s="1">
        <f t="shared" si="7"/>
        <v>0</v>
      </c>
    </row>
    <row r="19" spans="1:15">
      <c r="A19" s="18">
        <v>46040</v>
      </c>
      <c r="B19" t="str">
        <f t="shared" si="3"/>
        <v>日</v>
      </c>
      <c r="C19" t="str">
        <f t="shared" si="8"/>
        <v>土日祝</v>
      </c>
      <c r="D19" s="11"/>
      <c r="E19" s="11"/>
      <c r="F19" s="11"/>
      <c r="G19" s="11"/>
      <c r="H19" s="17"/>
      <c r="I19" s="3">
        <f t="shared" si="1"/>
        <v>0</v>
      </c>
      <c r="K19" s="1">
        <f t="shared" si="2"/>
        <v>0</v>
      </c>
      <c r="L19" s="8">
        <f t="shared" si="4"/>
        <v>0</v>
      </c>
      <c r="M19" s="1">
        <f t="shared" si="5"/>
        <v>0</v>
      </c>
      <c r="N19" s="1">
        <f t="shared" si="6"/>
        <v>0</v>
      </c>
      <c r="O19" s="1">
        <f t="shared" si="7"/>
        <v>0</v>
      </c>
    </row>
    <row r="20" spans="1:15">
      <c r="A20" s="18">
        <v>46041</v>
      </c>
      <c r="B20" t="str">
        <f t="shared" si="3"/>
        <v>月</v>
      </c>
      <c r="C20" t="str">
        <f t="shared" si="8"/>
        <v>平日</v>
      </c>
      <c r="D20" s="11"/>
      <c r="E20" s="11"/>
      <c r="F20" s="11"/>
      <c r="G20" s="11"/>
      <c r="H20" s="17"/>
      <c r="I20" s="3">
        <f t="shared" si="1"/>
        <v>0</v>
      </c>
      <c r="K20" s="1">
        <f t="shared" si="2"/>
        <v>0</v>
      </c>
      <c r="L20" s="8">
        <f t="shared" si="4"/>
        <v>0</v>
      </c>
      <c r="M20" s="1">
        <f t="shared" si="5"/>
        <v>0</v>
      </c>
      <c r="N20" s="1">
        <f t="shared" si="6"/>
        <v>0</v>
      </c>
      <c r="O20" s="1">
        <f t="shared" si="7"/>
        <v>0</v>
      </c>
    </row>
    <row r="21" spans="1:15">
      <c r="A21" s="18">
        <v>46042</v>
      </c>
      <c r="B21" t="str">
        <f t="shared" si="3"/>
        <v>火</v>
      </c>
      <c r="C21" t="str">
        <f t="shared" si="8"/>
        <v>平日</v>
      </c>
      <c r="D21" s="11"/>
      <c r="E21" s="11"/>
      <c r="F21" s="11"/>
      <c r="G21" s="11"/>
      <c r="H21" s="17"/>
      <c r="I21" s="3">
        <f t="shared" si="1"/>
        <v>0</v>
      </c>
      <c r="K21" s="1">
        <f t="shared" si="2"/>
        <v>0</v>
      </c>
      <c r="L21" s="8">
        <f t="shared" si="4"/>
        <v>0</v>
      </c>
      <c r="M21" s="1">
        <f t="shared" si="5"/>
        <v>0</v>
      </c>
      <c r="N21" s="1">
        <f t="shared" si="6"/>
        <v>0</v>
      </c>
      <c r="O21" s="1">
        <f t="shared" si="7"/>
        <v>0</v>
      </c>
    </row>
    <row r="22" spans="1:15">
      <c r="A22" s="18">
        <v>46043</v>
      </c>
      <c r="B22" t="str">
        <f t="shared" si="3"/>
        <v>水</v>
      </c>
      <c r="C22" t="str">
        <f t="shared" si="8"/>
        <v>平日</v>
      </c>
      <c r="D22" s="11"/>
      <c r="E22" s="11"/>
      <c r="F22" s="11"/>
      <c r="G22" s="11"/>
      <c r="H22" s="17"/>
      <c r="I22" s="3">
        <f t="shared" si="1"/>
        <v>0</v>
      </c>
      <c r="K22" s="1">
        <f t="shared" si="2"/>
        <v>0</v>
      </c>
      <c r="L22" s="8">
        <f t="shared" si="4"/>
        <v>0</v>
      </c>
      <c r="M22" s="1">
        <f t="shared" si="5"/>
        <v>0</v>
      </c>
      <c r="N22" s="1">
        <f t="shared" si="6"/>
        <v>0</v>
      </c>
      <c r="O22" s="1">
        <f t="shared" si="7"/>
        <v>0</v>
      </c>
    </row>
    <row r="23" spans="1:15">
      <c r="A23" s="18">
        <v>46044</v>
      </c>
      <c r="B23" t="str">
        <f t="shared" si="3"/>
        <v>木</v>
      </c>
      <c r="C23" t="str">
        <f t="shared" si="8"/>
        <v>平日</v>
      </c>
      <c r="D23" s="11"/>
      <c r="E23" s="11"/>
      <c r="F23" s="11"/>
      <c r="G23" s="11"/>
      <c r="H23" s="17"/>
      <c r="I23" s="3">
        <f t="shared" si="1"/>
        <v>0</v>
      </c>
      <c r="K23" s="1">
        <f t="shared" si="2"/>
        <v>0</v>
      </c>
      <c r="L23" s="8">
        <f t="shared" si="4"/>
        <v>0</v>
      </c>
      <c r="M23" s="1">
        <f t="shared" si="5"/>
        <v>0</v>
      </c>
      <c r="N23" s="1">
        <f t="shared" si="6"/>
        <v>0</v>
      </c>
      <c r="O23" s="1">
        <f t="shared" si="7"/>
        <v>0</v>
      </c>
    </row>
    <row r="24" spans="1:15">
      <c r="A24" s="18">
        <v>46045</v>
      </c>
      <c r="B24" t="str">
        <f t="shared" si="3"/>
        <v>金</v>
      </c>
      <c r="C24" t="str">
        <f t="shared" si="8"/>
        <v>平日</v>
      </c>
      <c r="D24" s="11"/>
      <c r="E24" s="11"/>
      <c r="F24" s="11"/>
      <c r="G24" s="11"/>
      <c r="H24" s="17"/>
      <c r="I24" s="3">
        <f t="shared" si="1"/>
        <v>0</v>
      </c>
      <c r="K24" s="1">
        <f t="shared" si="2"/>
        <v>0</v>
      </c>
      <c r="L24" s="8">
        <f t="shared" si="4"/>
        <v>0</v>
      </c>
      <c r="M24" s="1">
        <f t="shared" si="5"/>
        <v>0</v>
      </c>
      <c r="N24" s="1">
        <f t="shared" si="6"/>
        <v>0</v>
      </c>
      <c r="O24" s="1">
        <f t="shared" si="7"/>
        <v>0</v>
      </c>
    </row>
    <row r="25" spans="1:15">
      <c r="A25" s="18">
        <v>46046</v>
      </c>
      <c r="B25" t="str">
        <f t="shared" si="3"/>
        <v>土</v>
      </c>
      <c r="C25" t="str">
        <f t="shared" si="8"/>
        <v>土日祝</v>
      </c>
      <c r="D25" s="11"/>
      <c r="E25" s="11"/>
      <c r="F25" s="11"/>
      <c r="G25" s="11"/>
      <c r="H25" s="17"/>
      <c r="I25" s="3">
        <f t="shared" si="1"/>
        <v>0</v>
      </c>
      <c r="K25" s="1">
        <f t="shared" si="2"/>
        <v>0</v>
      </c>
      <c r="L25" s="8">
        <f t="shared" si="4"/>
        <v>0</v>
      </c>
      <c r="M25" s="1">
        <f t="shared" si="5"/>
        <v>0</v>
      </c>
      <c r="N25" s="1">
        <f t="shared" si="6"/>
        <v>0</v>
      </c>
      <c r="O25" s="1">
        <f t="shared" si="7"/>
        <v>0</v>
      </c>
    </row>
    <row r="26" spans="1:15">
      <c r="A26" s="18">
        <v>46047</v>
      </c>
      <c r="B26" t="str">
        <f t="shared" si="3"/>
        <v>日</v>
      </c>
      <c r="C26" t="str">
        <f t="shared" si="8"/>
        <v>土日祝</v>
      </c>
      <c r="D26" s="11"/>
      <c r="E26" s="11"/>
      <c r="F26" s="11"/>
      <c r="G26" s="11"/>
      <c r="H26" s="17"/>
      <c r="I26" s="3">
        <f t="shared" si="1"/>
        <v>0</v>
      </c>
      <c r="K26" s="1">
        <f t="shared" si="2"/>
        <v>0</v>
      </c>
      <c r="L26" s="8">
        <f t="shared" si="4"/>
        <v>0</v>
      </c>
      <c r="M26" s="1">
        <f t="shared" si="5"/>
        <v>0</v>
      </c>
      <c r="N26" s="1">
        <f t="shared" si="6"/>
        <v>0</v>
      </c>
      <c r="O26" s="1">
        <f t="shared" si="7"/>
        <v>0</v>
      </c>
    </row>
    <row r="27" spans="1:15">
      <c r="A27" s="18">
        <v>46048</v>
      </c>
      <c r="B27" t="str">
        <f t="shared" si="3"/>
        <v>月</v>
      </c>
      <c r="C27" t="str">
        <f t="shared" si="8"/>
        <v>平日</v>
      </c>
      <c r="D27" s="11"/>
      <c r="E27" s="11"/>
      <c r="F27" s="11"/>
      <c r="G27" s="11"/>
      <c r="H27" s="17"/>
      <c r="I27" s="3">
        <f t="shared" si="1"/>
        <v>0</v>
      </c>
      <c r="K27" s="1">
        <f t="shared" si="2"/>
        <v>0</v>
      </c>
      <c r="L27" s="8">
        <f t="shared" si="4"/>
        <v>0</v>
      </c>
      <c r="M27" s="1">
        <f t="shared" si="5"/>
        <v>0</v>
      </c>
      <c r="N27" s="1">
        <f t="shared" si="6"/>
        <v>0</v>
      </c>
      <c r="O27" s="1">
        <f t="shared" si="7"/>
        <v>0</v>
      </c>
    </row>
    <row r="28" spans="1:15">
      <c r="A28" s="18">
        <v>46049</v>
      </c>
      <c r="B28" t="str">
        <f t="shared" si="3"/>
        <v>火</v>
      </c>
      <c r="C28" t="str">
        <f t="shared" si="8"/>
        <v>平日</v>
      </c>
      <c r="D28" s="11"/>
      <c r="E28" s="11"/>
      <c r="F28" s="11"/>
      <c r="G28" s="11"/>
      <c r="H28" s="17"/>
      <c r="I28" s="3">
        <f t="shared" si="1"/>
        <v>0</v>
      </c>
      <c r="K28" s="1">
        <f t="shared" si="2"/>
        <v>0</v>
      </c>
      <c r="L28" s="8">
        <f t="shared" si="4"/>
        <v>0</v>
      </c>
      <c r="M28" s="1">
        <f t="shared" si="5"/>
        <v>0</v>
      </c>
      <c r="N28" s="1">
        <f t="shared" si="6"/>
        <v>0</v>
      </c>
      <c r="O28" s="1">
        <f t="shared" si="7"/>
        <v>0</v>
      </c>
    </row>
    <row r="29" spans="1:15">
      <c r="A29" s="18">
        <v>46050</v>
      </c>
      <c r="B29" t="str">
        <f t="shared" si="3"/>
        <v>水</v>
      </c>
      <c r="C29" t="str">
        <f t="shared" si="8"/>
        <v>平日</v>
      </c>
      <c r="D29" s="11"/>
      <c r="E29" s="11"/>
      <c r="F29" s="11"/>
      <c r="G29" s="11"/>
      <c r="H29" s="17"/>
      <c r="I29" s="3">
        <f t="shared" si="1"/>
        <v>0</v>
      </c>
      <c r="K29" s="1">
        <f t="shared" si="2"/>
        <v>0</v>
      </c>
      <c r="L29" s="8">
        <f t="shared" si="4"/>
        <v>0</v>
      </c>
      <c r="M29" s="1">
        <f t="shared" si="5"/>
        <v>0</v>
      </c>
      <c r="N29" s="1">
        <f t="shared" si="6"/>
        <v>0</v>
      </c>
      <c r="O29" s="1">
        <f t="shared" si="7"/>
        <v>0</v>
      </c>
    </row>
    <row r="30" spans="1:15">
      <c r="A30" s="18">
        <v>46051</v>
      </c>
      <c r="B30" t="str">
        <f t="shared" si="3"/>
        <v>木</v>
      </c>
      <c r="C30" t="str">
        <f t="shared" si="8"/>
        <v>平日</v>
      </c>
      <c r="D30" s="11"/>
      <c r="E30" s="11"/>
      <c r="F30" s="11"/>
      <c r="G30" s="11"/>
      <c r="H30" s="17"/>
      <c r="I30" s="3">
        <f t="shared" si="1"/>
        <v>0</v>
      </c>
      <c r="K30" s="1">
        <f t="shared" si="2"/>
        <v>0</v>
      </c>
      <c r="L30" s="8">
        <f t="shared" si="4"/>
        <v>0</v>
      </c>
      <c r="M30" s="1">
        <f t="shared" si="5"/>
        <v>0</v>
      </c>
      <c r="N30" s="1">
        <f t="shared" si="6"/>
        <v>0</v>
      </c>
      <c r="O30" s="1">
        <f t="shared" si="7"/>
        <v>0</v>
      </c>
    </row>
    <row r="31" spans="1:15">
      <c r="A31" s="18">
        <v>46052</v>
      </c>
      <c r="B31" t="str">
        <f t="shared" si="3"/>
        <v>金</v>
      </c>
      <c r="C31" t="str">
        <f t="shared" si="8"/>
        <v>平日</v>
      </c>
      <c r="D31" s="11"/>
      <c r="E31" s="11"/>
      <c r="F31" s="11"/>
      <c r="G31" s="11"/>
      <c r="H31" s="17"/>
      <c r="I31" s="3">
        <f t="shared" si="1"/>
        <v>0</v>
      </c>
      <c r="K31" s="1">
        <f t="shared" si="2"/>
        <v>0</v>
      </c>
      <c r="L31" s="8">
        <f t="shared" si="4"/>
        <v>0</v>
      </c>
      <c r="M31" s="1">
        <f t="shared" si="5"/>
        <v>0</v>
      </c>
      <c r="N31" s="1">
        <f t="shared" si="6"/>
        <v>0</v>
      </c>
      <c r="O31" s="1">
        <f t="shared" si="7"/>
        <v>0</v>
      </c>
    </row>
    <row r="32" spans="1:15">
      <c r="A32" s="18">
        <v>46053</v>
      </c>
      <c r="B32" t="str">
        <f t="shared" si="3"/>
        <v>土</v>
      </c>
      <c r="C32" t="str">
        <f t="shared" si="8"/>
        <v>土日祝</v>
      </c>
      <c r="D32" s="11"/>
      <c r="E32" s="11"/>
      <c r="F32" s="11"/>
      <c r="G32" s="11"/>
      <c r="H32" s="17"/>
      <c r="I32" s="3">
        <f t="shared" si="1"/>
        <v>0</v>
      </c>
      <c r="K32" s="1">
        <f t="shared" si="2"/>
        <v>0</v>
      </c>
      <c r="L32" s="8">
        <f t="shared" si="4"/>
        <v>0</v>
      </c>
      <c r="M32" s="1">
        <f t="shared" si="5"/>
        <v>0</v>
      </c>
      <c r="N32" s="1">
        <f t="shared" si="6"/>
        <v>0</v>
      </c>
      <c r="O32" s="1">
        <f t="shared" si="7"/>
        <v>0</v>
      </c>
    </row>
    <row r="33" spans="5:15" ht="18.600000000000001" thickBot="1">
      <c r="H33" t="s">
        <v>31</v>
      </c>
      <c r="I33" s="3" t="s">
        <v>24</v>
      </c>
      <c r="K33" s="1" t="s">
        <v>32</v>
      </c>
      <c r="L33" s="8"/>
      <c r="M33" s="1" t="s">
        <v>25</v>
      </c>
      <c r="N33" s="1" t="s">
        <v>33</v>
      </c>
      <c r="O33" s="1" t="s">
        <v>29</v>
      </c>
    </row>
    <row r="34" spans="5:15" ht="18.600000000000001" thickBot="1">
      <c r="E34" t="s">
        <v>34</v>
      </c>
      <c r="F34" s="14"/>
      <c r="H34" s="25">
        <f>SUM(H2:H32)</f>
        <v>0</v>
      </c>
      <c r="I34" s="9">
        <f>SUM(I2:I32)</f>
        <v>0</v>
      </c>
      <c r="J34" s="15"/>
      <c r="K34" s="2">
        <f>SUM(K2:K32)</f>
        <v>0</v>
      </c>
      <c r="L34" s="2">
        <f t="shared" ref="L34:O34" si="9">SUM(L2:L32)</f>
        <v>0</v>
      </c>
      <c r="M34" s="13">
        <f>SUM(M2:M32)</f>
        <v>0</v>
      </c>
      <c r="N34" s="28">
        <f t="shared" si="9"/>
        <v>0</v>
      </c>
      <c r="O34" s="28">
        <f t="shared" si="9"/>
        <v>0</v>
      </c>
    </row>
    <row r="35" spans="5:15" ht="18.600000000000001" thickBot="1"/>
    <row r="36" spans="5:15" ht="18.600000000000001" thickBot="1">
      <c r="E36" t="s">
        <v>40</v>
      </c>
      <c r="F36">
        <f>M40*F41</f>
        <v>0</v>
      </c>
      <c r="L36" s="21" t="s">
        <v>35</v>
      </c>
      <c r="M36" s="29">
        <f>SUMIFS(M:M, C:C, "平日")</f>
        <v>0</v>
      </c>
      <c r="N36" s="23">
        <f>SUMIFS(N:N, C:C, "平日")</f>
        <v>0</v>
      </c>
      <c r="O36" s="23">
        <f>SUMIFS(O:O, C:C, "平日")</f>
        <v>0</v>
      </c>
    </row>
    <row r="37" spans="5:15" ht="18.600000000000001" thickBot="1">
      <c r="E37" t="s">
        <v>36</v>
      </c>
      <c r="F37">
        <f>F40*I34</f>
        <v>0</v>
      </c>
      <c r="G37" t="s">
        <v>23</v>
      </c>
      <c r="H37" s="14">
        <f>H34*300</f>
        <v>0</v>
      </c>
      <c r="L37" s="22" t="s">
        <v>37</v>
      </c>
      <c r="M37" s="30">
        <f>SUMIFS(M:M, C:C, "土日祝")</f>
        <v>0</v>
      </c>
      <c r="N37" s="24">
        <f>SUMIFS(N:N, C:C, "土日祝")</f>
        <v>0</v>
      </c>
      <c r="O37" s="24">
        <f>SUMIFS(O:O, C:C, "土日祝")</f>
        <v>0</v>
      </c>
    </row>
    <row r="38" spans="5:15" ht="18.600000000000001" thickBot="1">
      <c r="E38" t="s">
        <v>41</v>
      </c>
      <c r="F38" s="32">
        <f>SUM(F34:F37)</f>
        <v>0</v>
      </c>
      <c r="L38" s="26" t="s">
        <v>38</v>
      </c>
      <c r="M38" s="31">
        <f>ROUNDUP(M37*24,2)</f>
        <v>0</v>
      </c>
      <c r="N38" s="27"/>
      <c r="O38" s="27"/>
    </row>
    <row r="39" spans="5:15">
      <c r="M39" s="31">
        <f>ROUNDUP(M36*24,2)</f>
        <v>0</v>
      </c>
    </row>
    <row r="40" spans="5:15">
      <c r="E40" t="s">
        <v>39</v>
      </c>
      <c r="F40">
        <v>0</v>
      </c>
      <c r="M40" s="33">
        <f>M38+M39</f>
        <v>0</v>
      </c>
    </row>
    <row r="41" spans="5:15">
      <c r="E41" t="s">
        <v>42</v>
      </c>
      <c r="F41">
        <v>1200</v>
      </c>
    </row>
  </sheetData>
  <autoFilter ref="A1:O34" xr:uid="{2463820A-166A-41EF-AA80-14B6CA685C95}"/>
  <phoneticPr fontId="1"/>
  <conditionalFormatting sqref="A2:C32">
    <cfRule type="expression" dxfId="5" priority="1">
      <formula>$B2="祝"</formula>
    </cfRule>
    <cfRule type="expression" dxfId="4" priority="2">
      <formula>$B2="土"</formula>
    </cfRule>
    <cfRule type="expression" dxfId="3" priority="3">
      <formula>$B2="日"</formula>
    </cfRule>
    <cfRule type="expression" dxfId="2" priority="4">
      <formula>$B2="土"</formula>
    </cfRule>
    <cfRule type="expression" dxfId="1" priority="5">
      <formula>$B2="土"</formula>
    </cfRule>
    <cfRule type="expression" dxfId="0" priority="6">
      <formula>"B=土"</formula>
    </cfRule>
  </conditionalFormatting>
  <pageMargins left="0.70866141732283472" right="0.70866141732283472" top="0.74803149606299213" bottom="0.74803149606299213" header="0.31496062992125984" footer="0.31496062992125984"/>
  <pageSetup paperSize="9" scale="91" orientation="portrait" verticalDpi="0" r:id="rId1"/>
  <headerFooter>
    <oddHeader>&amp;A</oddHeader>
    <oddFooter>&amp;F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祝日</vt:lpstr>
      <vt:lpstr>氏名入力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Tetsuya Fujimoto</dc:creator>
  <cp:keywords/>
  <dc:description/>
  <cp:lastModifiedBy>ちひろ 伊藤</cp:lastModifiedBy>
  <cp:revision/>
  <dcterms:created xsi:type="dcterms:W3CDTF">2015-06-05T18:19:34Z</dcterms:created>
  <dcterms:modified xsi:type="dcterms:W3CDTF">2026-01-30T22:17:55Z</dcterms:modified>
  <cp:category/>
  <cp:contentStatus/>
</cp:coreProperties>
</file>